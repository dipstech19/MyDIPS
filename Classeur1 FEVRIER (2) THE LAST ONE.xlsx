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  <sheet r:id="rId2" sheetId="2" name="Feuil2"/>
  </sheets>
  <calcPr fullCalcOnLoad="1"/>
</workbook>
</file>

<file path=xl/sharedStrings.xml><?xml version="1.0" encoding="utf-8"?>
<sst xmlns="http://schemas.openxmlformats.org/spreadsheetml/2006/main" count="258" uniqueCount="161">
  <si>
    <t>DIPS  / WAVE 2 EAST</t>
  </si>
  <si>
    <t xml:space="preserve">Février </t>
  </si>
  <si>
    <t>Quantité</t>
  </si>
  <si>
    <t>Dimanche</t>
  </si>
  <si>
    <t>Lundi</t>
  </si>
  <si>
    <t>Mardi</t>
  </si>
  <si>
    <t>Mercredi</t>
  </si>
  <si>
    <t>Jeudi</t>
  </si>
  <si>
    <t>Vendredi</t>
  </si>
  <si>
    <t>Samedi</t>
  </si>
  <si>
    <t>N heurs</t>
  </si>
  <si>
    <t>N chifts efectué</t>
  </si>
  <si>
    <t xml:space="preserve">N chifts prévue </t>
  </si>
  <si>
    <t>Réalisation</t>
  </si>
  <si>
    <t>Salaire a payer</t>
  </si>
  <si>
    <t>Nom</t>
  </si>
  <si>
    <t>Prénom</t>
  </si>
  <si>
    <t>POSTE</t>
  </si>
  <si>
    <t>EZZAHYRY</t>
  </si>
  <si>
    <t>MOURAD</t>
  </si>
  <si>
    <t xml:space="preserve">Responsable suivi performance </t>
  </si>
  <si>
    <t>AIT MOUH</t>
  </si>
  <si>
    <t>ABDALLAH</t>
  </si>
  <si>
    <t>Chef zone</t>
  </si>
  <si>
    <t xml:space="preserve">JRIRI </t>
  </si>
  <si>
    <t>MOHAMED</t>
  </si>
  <si>
    <t>Chef d'atelier</t>
  </si>
  <si>
    <t>LAADIMI</t>
  </si>
  <si>
    <t>TAOUFIQ</t>
  </si>
  <si>
    <t>Responsable QHSE</t>
  </si>
  <si>
    <t>AAGADI</t>
  </si>
  <si>
    <t xml:space="preserve">MOHAMMED ISLAM </t>
  </si>
  <si>
    <t>RH</t>
  </si>
  <si>
    <t>AIT OMAR</t>
  </si>
  <si>
    <t>DATA SCIENCE &amp; AI</t>
  </si>
  <si>
    <t>HAJJOUB</t>
  </si>
  <si>
    <t>OMAR</t>
  </si>
  <si>
    <t>Speciaiste AI</t>
  </si>
  <si>
    <t>CHOURAK</t>
  </si>
  <si>
    <t xml:space="preserve">MAROUAN </t>
  </si>
  <si>
    <t>SYOUMI</t>
  </si>
  <si>
    <t>AYOUB</t>
  </si>
  <si>
    <t>Chef d'équipe</t>
  </si>
  <si>
    <t>ER-ROUGBANI</t>
  </si>
  <si>
    <t>KAMAL</t>
  </si>
  <si>
    <t xml:space="preserve">BEL LAFQUIH </t>
  </si>
  <si>
    <t>YOUSSEF</t>
  </si>
  <si>
    <t>EL HAIMER</t>
  </si>
  <si>
    <t>ABDELLATIF</t>
  </si>
  <si>
    <t xml:space="preserve">ESSOUIDI </t>
  </si>
  <si>
    <t>SAID</t>
  </si>
  <si>
    <t xml:space="preserve">Aide superviseur salle de contrôle </t>
  </si>
  <si>
    <t xml:space="preserve">DHAIMI </t>
  </si>
  <si>
    <t>ALLANI</t>
  </si>
  <si>
    <t>YOUNESS</t>
  </si>
  <si>
    <t>BENYAHYA</t>
  </si>
  <si>
    <t>MAHJOUB</t>
  </si>
  <si>
    <t>MOUHIB</t>
  </si>
  <si>
    <t>ABDELLAH</t>
  </si>
  <si>
    <t>Opérateur process</t>
  </si>
  <si>
    <t>TALEB-SALAMA</t>
  </si>
  <si>
    <t>KHALID</t>
  </si>
  <si>
    <t>NHARI</t>
  </si>
  <si>
    <t>MOHAMED KARIM</t>
  </si>
  <si>
    <t>Absent</t>
  </si>
  <si>
    <t xml:space="preserve">El Battach </t>
  </si>
  <si>
    <t>Bilal</t>
  </si>
  <si>
    <t>HANSALI</t>
  </si>
  <si>
    <t>MHAMED</t>
  </si>
  <si>
    <t xml:space="preserve">Moussouf </t>
  </si>
  <si>
    <t>Youssef</t>
  </si>
  <si>
    <t>MAAFI</t>
  </si>
  <si>
    <t>NOUR EDDINE</t>
  </si>
  <si>
    <t xml:space="preserve">Tirari </t>
  </si>
  <si>
    <t>M'hammed</t>
  </si>
  <si>
    <t>NADI</t>
  </si>
  <si>
    <t>RACHID</t>
  </si>
  <si>
    <t>WAFIK</t>
  </si>
  <si>
    <t>ILYASS</t>
  </si>
  <si>
    <t>KHARBOUCH</t>
  </si>
  <si>
    <t xml:space="preserve">Latif </t>
  </si>
  <si>
    <t>Omar</t>
  </si>
  <si>
    <t xml:space="preserve">Elkorchi </t>
  </si>
  <si>
    <t>Bouchaib</t>
  </si>
  <si>
    <t>EL HANTATI</t>
  </si>
  <si>
    <t>AHMED</t>
  </si>
  <si>
    <t>ETTAKI EL ALAOUI</t>
  </si>
  <si>
    <t>HAMZA</t>
  </si>
  <si>
    <t xml:space="preserve">Afkkir </t>
  </si>
  <si>
    <t>ES-SOUSY</t>
  </si>
  <si>
    <t>ABDELHAKIM</t>
  </si>
  <si>
    <t xml:space="preserve">FARI </t>
  </si>
  <si>
    <t>YOUNES</t>
  </si>
  <si>
    <t>CHOUAIB</t>
  </si>
  <si>
    <t>ABDELAATI</t>
  </si>
  <si>
    <t xml:space="preserve">OUADDAH </t>
  </si>
  <si>
    <t xml:space="preserve">EL HANDAOUI </t>
  </si>
  <si>
    <t>ANAS</t>
  </si>
  <si>
    <t>MP</t>
  </si>
  <si>
    <t xml:space="preserve">EL FARHANY </t>
  </si>
  <si>
    <t>ABDERRAHMANE</t>
  </si>
  <si>
    <t>EL KADIRI</t>
  </si>
  <si>
    <t>OTHMANE</t>
  </si>
  <si>
    <t>AYAD</t>
  </si>
  <si>
    <t>ABDERAZZAK</t>
  </si>
  <si>
    <t xml:space="preserve">Lobani </t>
  </si>
  <si>
    <t>Ilyas</t>
  </si>
  <si>
    <t>FT</t>
  </si>
  <si>
    <t>El Ouazzouzi</t>
  </si>
  <si>
    <t>Hamza</t>
  </si>
  <si>
    <t xml:space="preserve">EL HADIFI </t>
  </si>
  <si>
    <t>BADR</t>
  </si>
  <si>
    <t>AKNINE</t>
  </si>
  <si>
    <t>YASSINE</t>
  </si>
  <si>
    <t>ANTARI</t>
  </si>
  <si>
    <t>EL HAKAMI</t>
  </si>
  <si>
    <t>ETTAYBI</t>
  </si>
  <si>
    <t>BENHMMOU</t>
  </si>
  <si>
    <t>AMINE</t>
  </si>
  <si>
    <t xml:space="preserve">Jabber </t>
  </si>
  <si>
    <t xml:space="preserve">BOUTAOURI </t>
  </si>
  <si>
    <t>OUSSAMA</t>
  </si>
  <si>
    <t>BA.oublier</t>
  </si>
  <si>
    <t>JAOUAD</t>
  </si>
  <si>
    <t>Houssam</t>
  </si>
  <si>
    <t>EL BADRAOUI</t>
  </si>
  <si>
    <t>Opérateur de nettoyage</t>
  </si>
  <si>
    <t xml:space="preserve">SAFIANE </t>
  </si>
  <si>
    <t xml:space="preserve">SALAH EDDIN </t>
  </si>
  <si>
    <t>ELFILAHI</t>
  </si>
  <si>
    <t xml:space="preserve">EL RHAZI </t>
  </si>
  <si>
    <t>FATIMA</t>
  </si>
  <si>
    <t xml:space="preserve">Ménage </t>
  </si>
  <si>
    <t>BARIDI</t>
  </si>
  <si>
    <t xml:space="preserve">ALI </t>
  </si>
  <si>
    <t>Distribition RMC</t>
  </si>
  <si>
    <t>MONSIF</t>
  </si>
  <si>
    <t>MOHAMMED</t>
  </si>
  <si>
    <t>HAKIMI</t>
  </si>
  <si>
    <t>RIDA</t>
  </si>
  <si>
    <t xml:space="preserve">IJRHA </t>
  </si>
  <si>
    <t>ABDELHAY</t>
  </si>
  <si>
    <t>MAGOUSS</t>
  </si>
  <si>
    <t>ABDELHADI</t>
  </si>
  <si>
    <t>Distribution RADEEJ</t>
  </si>
  <si>
    <t>EL MANSOURI</t>
  </si>
  <si>
    <t>BADRE</t>
  </si>
  <si>
    <t>FADDOULI</t>
  </si>
  <si>
    <t>ABDELLAZIZ</t>
  </si>
  <si>
    <t>FATH</t>
  </si>
  <si>
    <t>KARYM</t>
  </si>
  <si>
    <t>SBAI</t>
  </si>
  <si>
    <t>Distribution Phase 1</t>
  </si>
  <si>
    <t>AKKAR</t>
  </si>
  <si>
    <t>ZOUHAIR</t>
  </si>
  <si>
    <t>TABIT</t>
  </si>
  <si>
    <t>ABDELOUAHED</t>
  </si>
  <si>
    <t>Distribution Phase 3</t>
  </si>
  <si>
    <t>MAANA</t>
  </si>
  <si>
    <t>IMAD</t>
  </si>
  <si>
    <t>Distribution Phase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</si>
</sst>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6"/>
      <color rgb="FF002060"/>
      <name val="Calibri"/>
      <family val="2"/>
    </font>
    <font>
      <sz val="11"/>
      <color theme="1"/>
      <name val="Calibri"/>
      <family val="2"/>
    </font>
    <font>
      <b/>
      <sz val="20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ae3f3"/>
      </patternFill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ed7d31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rgb="FFdbdbdb"/>
      </patternFill>
    </fill>
    <fill>
      <patternFill patternType="solid">
        <fgColor rgb="FFd0cece"/>
      </patternFill>
    </fill>
    <fill>
      <patternFill patternType="solid">
        <fgColor rgb="FFff0000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179">
    <xf xfId="0" numFmtId="0" borderId="0" fontId="0" fillId="0"/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0" borderId="3" applyBorder="1" fontId="4" applyFont="1" fillId="0" applyAlignment="1">
      <alignment horizontal="left"/>
    </xf>
    <xf xfId="0" numFmtId="0" borderId="4" applyBorder="1" fontId="4" applyFont="1" fillId="0" applyAlignment="1">
      <alignment horizontal="left"/>
    </xf>
    <xf xfId="0" numFmtId="3" applyNumberFormat="1" borderId="5" applyBorder="1" fontId="4" applyFont="1" fillId="0" applyAlignment="1">
      <alignment horizontal="center" vertical="top"/>
    </xf>
    <xf xfId="0" numFmtId="3" applyNumberFormat="1" borderId="2" applyBorder="1" fontId="4" applyFont="1" fillId="2" applyFill="1" applyAlignment="1">
      <alignment horizontal="center"/>
    </xf>
    <xf xfId="0" numFmtId="3" applyNumberFormat="1" borderId="3" applyBorder="1" fontId="4" applyFont="1" fillId="0" applyAlignment="1">
      <alignment horizontal="center"/>
    </xf>
    <xf xfId="0" numFmtId="3" applyNumberFormat="1" borderId="3" applyBorder="1" fontId="4" applyFont="1" fillId="2" applyFill="1" applyAlignment="1">
      <alignment horizontal="center"/>
    </xf>
    <xf xfId="0" numFmtId="3" applyNumberFormat="1" borderId="3" applyBorder="1" fontId="4" applyFont="1" fillId="3" applyFill="1" applyAlignment="1">
      <alignment horizontal="center"/>
    </xf>
    <xf xfId="0" numFmtId="3" applyNumberFormat="1" borderId="6" applyBorder="1" fontId="4" applyFont="1" fillId="4" applyFill="1" applyAlignment="1">
      <alignment horizontal="center" vertical="top"/>
    </xf>
    <xf xfId="0" numFmtId="3" applyNumberFormat="1" borderId="6" applyBorder="1" fontId="5" applyFont="1" fillId="4" applyFill="1" applyAlignment="1">
      <alignment horizontal="center" vertical="top"/>
    </xf>
    <xf xfId="0" numFmtId="3" applyNumberFormat="1" borderId="7" applyBorder="1" fontId="5" applyFont="1" fillId="4" applyFill="1" applyAlignment="1">
      <alignment horizontal="center" vertical="top"/>
    </xf>
    <xf xfId="0" numFmtId="0" borderId="6" applyBorder="1" fontId="5" applyFont="1" fillId="4" applyFill="1" applyAlignment="1">
      <alignment horizontal="center" vertical="top"/>
    </xf>
    <xf xfId="0" numFmtId="164" applyNumberFormat="1" borderId="6" applyBorder="1" fontId="5" applyFont="1" fillId="4" applyFill="1" applyAlignment="1">
      <alignment horizontal="center" vertical="top"/>
    </xf>
    <xf xfId="0" numFmtId="0" borderId="8" applyBorder="1" fontId="4" applyFont="1" fillId="0" applyAlignment="1">
      <alignment horizontal="left"/>
    </xf>
    <xf xfId="0" numFmtId="0" borderId="9" applyBorder="1" fontId="4" applyFont="1" fillId="0" applyAlignment="1">
      <alignment horizontal="left"/>
    </xf>
    <xf xfId="0" numFmtId="0" borderId="10" applyBorder="1" fontId="4" applyFont="1" fillId="0" applyAlignment="1">
      <alignment horizontal="left"/>
    </xf>
    <xf xfId="0" numFmtId="3" applyNumberFormat="1" borderId="11" applyBorder="1" fontId="4" applyFont="1" fillId="0" applyAlignment="1">
      <alignment horizontal="center"/>
    </xf>
    <xf xfId="0" numFmtId="16" applyNumberFormat="1" borderId="8" applyBorder="1" fontId="4" applyFont="1" fillId="2" applyFill="1" applyAlignment="1">
      <alignment horizontal="center"/>
    </xf>
    <xf xfId="0" numFmtId="16" applyNumberFormat="1" borderId="9" applyBorder="1" fontId="4" applyFont="1" fillId="2" applyFill="1" applyAlignment="1">
      <alignment horizontal="center"/>
    </xf>
    <xf xfId="0" numFmtId="16" applyNumberFormat="1" borderId="9" applyBorder="1" fontId="4" applyFont="1" fillId="5" applyFill="1" applyAlignment="1">
      <alignment horizontal="center"/>
    </xf>
    <xf xfId="0" numFmtId="3" applyNumberFormat="1" borderId="12" applyBorder="1" fontId="4" applyFont="1" fillId="4" applyFill="1" applyAlignment="1">
      <alignment horizontal="center"/>
    </xf>
    <xf xfId="0" numFmtId="3" applyNumberFormat="1" borderId="12" applyBorder="1" fontId="5" applyFont="1" fillId="4" applyFill="1" applyAlignment="1">
      <alignment horizontal="center"/>
    </xf>
    <xf xfId="0" numFmtId="3" applyNumberFormat="1" borderId="13" applyBorder="1" fontId="5" applyFont="1" fillId="4" applyFill="1" applyAlignment="1">
      <alignment horizontal="center"/>
    </xf>
    <xf xfId="0" numFmtId="0" borderId="12" applyBorder="1" fontId="5" applyFont="1" fillId="4" applyFill="1" applyAlignment="1">
      <alignment horizontal="center"/>
    </xf>
    <xf xfId="0" numFmtId="164" applyNumberFormat="1" borderId="12" applyBorder="1" fontId="5" applyFont="1" fillId="4" applyFill="1" applyAlignment="1">
      <alignment horizontal="center"/>
    </xf>
    <xf xfId="0" numFmtId="0" borderId="14" applyBorder="1" fontId="6" applyFont="1" fillId="0" applyAlignment="1">
      <alignment horizontal="left" wrapText="1"/>
    </xf>
    <xf xfId="0" numFmtId="0" borderId="15" applyBorder="1" fontId="6" applyFont="1" fillId="0" applyAlignment="1">
      <alignment horizontal="left" wrapText="1"/>
    </xf>
    <xf xfId="0" numFmtId="3" applyNumberFormat="1" borderId="5" applyBorder="1" fontId="6" applyFont="1" fillId="0" applyAlignment="1">
      <alignment horizontal="center" wrapText="1"/>
    </xf>
    <xf xfId="0" numFmtId="3" applyNumberFormat="1" borderId="16" applyBorder="1" fontId="4" applyFont="1" fillId="2" applyFill="1" applyAlignment="1">
      <alignment horizontal="center"/>
    </xf>
    <xf xfId="0" numFmtId="3" applyNumberFormat="1" borderId="14" applyBorder="1" fontId="4" applyFont="1" fillId="0" applyAlignment="1">
      <alignment horizontal="center"/>
    </xf>
    <xf xfId="0" numFmtId="3" applyNumberFormat="1" borderId="17" applyBorder="1" fontId="4" applyFont="1" fillId="4" applyFill="1" applyAlignment="1">
      <alignment horizontal="center"/>
    </xf>
    <xf xfId="0" numFmtId="3" applyNumberFormat="1" borderId="17" applyBorder="1" fontId="4" applyFont="1" fillId="2" applyFill="1" applyAlignment="1">
      <alignment horizontal="center"/>
    </xf>
    <xf xfId="0" numFmtId="0" borderId="18" applyBorder="1" fontId="4" applyFont="1" fillId="4" applyFill="1" applyAlignment="1">
      <alignment horizontal="center" vertical="top"/>
    </xf>
    <xf xfId="0" numFmtId="0" borderId="19" applyBorder="1" fontId="4" applyFont="1" fillId="4" applyFill="1" applyAlignment="1">
      <alignment horizontal="center" vertical="top"/>
    </xf>
    <xf xfId="0" numFmtId="3" applyNumberFormat="1" borderId="2" applyBorder="1" fontId="4" applyFont="1" fillId="0" applyAlignment="1">
      <alignment horizontal="center"/>
    </xf>
    <xf xfId="0" numFmtId="3" applyNumberFormat="1" borderId="4" applyBorder="1" fontId="4" applyFont="1" fillId="0" applyAlignment="1">
      <alignment horizontal="center"/>
    </xf>
    <xf xfId="0" numFmtId="0" borderId="20" applyBorder="1" fontId="4" applyFont="1" fillId="4" applyFill="1" applyAlignment="1">
      <alignment horizontal="center" vertical="top"/>
    </xf>
    <xf xfId="0" numFmtId="0" borderId="5" applyBorder="1" fontId="4" applyFont="1" fillId="0" applyAlignment="1">
      <alignment horizontal="center"/>
    </xf>
    <xf xfId="0" numFmtId="164" applyNumberFormat="1" borderId="5" applyBorder="1" fontId="4" applyFont="1" fillId="0" applyAlignment="1">
      <alignment horizontal="center"/>
    </xf>
    <xf xfId="0" numFmtId="0" borderId="21" applyBorder="1" fontId="6" applyFont="1" fillId="0" applyAlignment="1">
      <alignment horizontal="left" wrapText="1"/>
    </xf>
    <xf xfId="0" numFmtId="0" borderId="22" applyBorder="1" fontId="6" applyFont="1" fillId="0" applyAlignment="1">
      <alignment horizontal="left" wrapText="1"/>
    </xf>
    <xf xfId="0" numFmtId="3" applyNumberFormat="1" borderId="23" applyBorder="1" fontId="6" applyFont="1" fillId="0" applyAlignment="1">
      <alignment horizontal="center" wrapText="1"/>
    </xf>
    <xf xfId="0" numFmtId="3" applyNumberFormat="1" borderId="24" applyBorder="1" fontId="4" applyFont="1" fillId="2" applyFill="1" applyAlignment="1">
      <alignment horizontal="center"/>
    </xf>
    <xf xfId="0" numFmtId="3" applyNumberFormat="1" borderId="21" applyBorder="1" fontId="4" applyFont="1" fillId="0" applyAlignment="1">
      <alignment horizontal="center"/>
    </xf>
    <xf xfId="0" numFmtId="3" applyNumberFormat="1" borderId="21" applyBorder="1" fontId="4" applyFont="1" fillId="4" applyFill="1" applyAlignment="1">
      <alignment horizontal="center"/>
    </xf>
    <xf xfId="0" numFmtId="3" applyNumberFormat="1" borderId="21" applyBorder="1" fontId="4" applyFont="1" fillId="2" applyFill="1" applyAlignment="1">
      <alignment horizontal="center"/>
    </xf>
    <xf xfId="0" numFmtId="0" borderId="18" applyBorder="1" fontId="4" applyFont="1" fillId="4" applyFill="1" applyAlignment="1">
      <alignment horizontal="center"/>
    </xf>
    <xf xfId="0" numFmtId="0" borderId="19" applyBorder="1" fontId="4" applyFont="1" fillId="4" applyFill="1" applyAlignment="1">
      <alignment horizontal="center"/>
    </xf>
    <xf xfId="0" numFmtId="3" applyNumberFormat="1" borderId="25" applyBorder="1" fontId="4" applyFont="1" fillId="0" applyAlignment="1">
      <alignment horizontal="center"/>
    </xf>
    <xf xfId="0" numFmtId="3" applyNumberFormat="1" borderId="26" applyBorder="1" fontId="4" applyFont="1" fillId="0" applyAlignment="1">
      <alignment horizontal="center"/>
    </xf>
    <xf xfId="0" numFmtId="0" borderId="20" applyBorder="1" fontId="4" applyFont="1" fillId="4" applyFill="1" applyAlignment="1">
      <alignment horizontal="center"/>
    </xf>
    <xf xfId="0" numFmtId="0" borderId="23" applyBorder="1" fontId="4" applyFont="1" fillId="0" applyAlignment="1">
      <alignment horizontal="center"/>
    </xf>
    <xf xfId="0" numFmtId="164" applyNumberFormat="1" borderId="23" applyBorder="1" fontId="4" applyFont="1" fillId="0" applyAlignment="1">
      <alignment horizontal="center"/>
    </xf>
    <xf xfId="0" numFmtId="3" applyNumberFormat="1" borderId="21" applyBorder="1" fontId="4" applyFont="1" fillId="6" applyFill="1" applyAlignment="1">
      <alignment horizontal="center"/>
    </xf>
    <xf xfId="0" numFmtId="3" applyNumberFormat="1" borderId="21" applyBorder="1" fontId="4" applyFont="1" fillId="7" applyFill="1" applyAlignment="1">
      <alignment horizontal="center"/>
    </xf>
    <xf xfId="0" numFmtId="3" applyNumberFormat="1" borderId="21" applyBorder="1" fontId="7" applyFont="1" fillId="4" applyFill="1" applyAlignment="1">
      <alignment horizontal="center"/>
    </xf>
    <xf xfId="0" numFmtId="0" borderId="9" applyBorder="1" fontId="6" applyFont="1" fillId="0" applyAlignment="1">
      <alignment horizontal="left" wrapText="1"/>
    </xf>
    <xf xfId="0" numFmtId="0" borderId="27" applyBorder="1" fontId="6" applyFont="1" fillId="0" applyAlignment="1">
      <alignment horizontal="left" wrapText="1"/>
    </xf>
    <xf xfId="0" numFmtId="3" applyNumberFormat="1" borderId="11" applyBorder="1" fontId="6" applyFont="1" fillId="0" applyAlignment="1">
      <alignment horizontal="center" wrapText="1"/>
    </xf>
    <xf xfId="0" numFmtId="3" applyNumberFormat="1" borderId="28" applyBorder="1" fontId="4" applyFont="1" fillId="2" applyFill="1" applyAlignment="1">
      <alignment horizontal="center"/>
    </xf>
    <xf xfId="0" numFmtId="3" applyNumberFormat="1" borderId="9" applyBorder="1" fontId="4" applyFont="1" fillId="0" applyAlignment="1">
      <alignment horizontal="center"/>
    </xf>
    <xf xfId="0" numFmtId="3" applyNumberFormat="1" borderId="9" applyBorder="1" fontId="4" applyFont="1" fillId="4" applyFill="1" applyAlignment="1">
      <alignment horizontal="center"/>
    </xf>
    <xf xfId="0" numFmtId="3" applyNumberFormat="1" borderId="9" applyBorder="1" fontId="4" applyFont="1" fillId="2" applyFill="1" applyAlignment="1">
      <alignment horizontal="center"/>
    </xf>
    <xf xfId="0" numFmtId="3" applyNumberFormat="1" borderId="8" applyBorder="1" fontId="4" applyFont="1" fillId="0" applyAlignment="1">
      <alignment horizontal="center"/>
    </xf>
    <xf xfId="0" numFmtId="3" applyNumberFormat="1" borderId="10" applyBorder="1" fontId="4" applyFont="1" fillId="0" applyAlignment="1">
      <alignment horizontal="center"/>
    </xf>
    <xf xfId="0" numFmtId="0" borderId="11" applyBorder="1" fontId="4" applyFont="1" fillId="0" applyAlignment="1">
      <alignment horizontal="center"/>
    </xf>
    <xf xfId="0" numFmtId="164" applyNumberFormat="1" borderId="11" applyBorder="1" fontId="4" applyFont="1" fillId="0" applyAlignment="1">
      <alignment horizontal="center"/>
    </xf>
    <xf xfId="0" numFmtId="3" applyNumberFormat="1" borderId="29" applyBorder="1" fontId="6" applyFont="1" fillId="0" applyAlignment="1">
      <alignment horizontal="center" vertical="top" wrapText="1"/>
    </xf>
    <xf xfId="0" numFmtId="3" applyNumberFormat="1" borderId="17" applyBorder="1" fontId="4" applyFont="1" fillId="7" applyFill="1" applyAlignment="1">
      <alignment horizontal="center"/>
    </xf>
    <xf xfId="0" numFmtId="3" applyNumberFormat="1" borderId="17" applyBorder="1" fontId="4" applyFont="1" fillId="8" applyFill="1" applyAlignment="1">
      <alignment horizontal="center"/>
    </xf>
    <xf xfId="0" numFmtId="3" applyNumberFormat="1" borderId="30" applyBorder="1" fontId="4" applyFont="1" fillId="0" applyAlignment="1">
      <alignment horizontal="center"/>
    </xf>
    <xf xfId="0" numFmtId="3" applyNumberFormat="1" borderId="31" applyBorder="1" fontId="4" applyFont="1" fillId="0" applyAlignment="1">
      <alignment horizontal="center"/>
    </xf>
    <xf xfId="0" numFmtId="3" applyNumberFormat="1" borderId="24" applyBorder="1" fontId="2" applyFont="1" fillId="2" applyFill="1" applyAlignment="1">
      <alignment horizontal="center"/>
    </xf>
    <xf xfId="0" numFmtId="3" applyNumberFormat="1" borderId="21" applyBorder="1" fontId="4" applyFont="1" fillId="8" applyFill="1" applyAlignment="1">
      <alignment horizontal="center"/>
    </xf>
    <xf xfId="0" numFmtId="164" applyNumberFormat="1" borderId="29" applyBorder="1" fontId="4" applyFont="1" fillId="0" applyAlignment="1">
      <alignment horizontal="center"/>
    </xf>
    <xf xfId="0" numFmtId="3" applyNumberFormat="1" borderId="24" applyBorder="1" fontId="4" applyFont="1" fillId="7" applyFill="1" applyAlignment="1">
      <alignment horizontal="center"/>
    </xf>
    <xf xfId="0" numFmtId="3" applyNumberFormat="1" borderId="9" applyBorder="1" fontId="4" applyFont="1" fillId="7" applyFill="1" applyAlignment="1">
      <alignment horizontal="center"/>
    </xf>
    <xf xfId="0" numFmtId="3" applyNumberFormat="1" borderId="9" applyBorder="1" fontId="4" applyFont="1" fillId="8" applyFill="1" applyAlignment="1">
      <alignment horizontal="center"/>
    </xf>
    <xf xfId="0" numFmtId="164" applyNumberFormat="1" borderId="32" applyBorder="1" fontId="4" applyFont="1" fillId="0" applyAlignment="1">
      <alignment horizontal="center"/>
    </xf>
    <xf xfId="0" numFmtId="3" applyNumberFormat="1" borderId="9" applyBorder="1" fontId="4" applyFont="1" fillId="6" applyFill="1" applyAlignment="1">
      <alignment horizontal="center"/>
    </xf>
    <xf xfId="0" numFmtId="3" applyNumberFormat="1" borderId="5" applyBorder="1" fontId="6" applyFont="1" fillId="0" applyAlignment="1">
      <alignment horizontal="center" vertical="top" wrapText="1"/>
    </xf>
    <xf xfId="0" numFmtId="3" applyNumberFormat="1" borderId="21" applyBorder="1" fontId="8" applyFont="1" fillId="2" applyFill="1" applyAlignment="1">
      <alignment horizontal="center"/>
    </xf>
    <xf xfId="0" numFmtId="3" applyNumberFormat="1" borderId="21" applyBorder="1" fontId="8" applyFont="1" fillId="4" applyFill="1" applyAlignment="1">
      <alignment horizontal="center"/>
    </xf>
    <xf xfId="0" numFmtId="0" borderId="33" applyBorder="1" fontId="6" applyFont="1" fillId="0" applyAlignment="1">
      <alignment horizontal="left" wrapText="1"/>
    </xf>
    <xf xfId="0" numFmtId="0" borderId="34" applyBorder="1" fontId="6" applyFont="1" fillId="0" applyAlignment="1">
      <alignment horizontal="left" wrapText="1"/>
    </xf>
    <xf xfId="0" numFmtId="3" applyNumberFormat="1" borderId="35" applyBorder="1" fontId="4" applyFont="1" fillId="7" applyFill="1" applyAlignment="1">
      <alignment horizontal="center"/>
    </xf>
    <xf xfId="0" numFmtId="3" applyNumberFormat="1" borderId="36" applyBorder="1" fontId="4" applyFont="1" fillId="7" applyFill="1" applyAlignment="1">
      <alignment horizontal="center"/>
    </xf>
    <xf xfId="0" numFmtId="3" applyNumberFormat="1" borderId="36" applyBorder="1" fontId="7" applyFont="1" fillId="4" applyFill="1" applyAlignment="1">
      <alignment horizontal="center"/>
    </xf>
    <xf xfId="0" numFmtId="3" applyNumberFormat="1" borderId="36" applyBorder="1" fontId="4" applyFont="1" fillId="2" applyFill="1" applyAlignment="1">
      <alignment horizontal="center"/>
    </xf>
    <xf xfId="0" numFmtId="3" applyNumberFormat="1" borderId="33" applyBorder="1" fontId="4" applyFont="1" fillId="0" applyAlignment="1">
      <alignment horizontal="center"/>
    </xf>
    <xf xfId="0" numFmtId="3" applyNumberFormat="1" borderId="36" applyBorder="1" fontId="4" applyFont="1" fillId="4" applyFill="1" applyAlignment="1">
      <alignment horizontal="center"/>
    </xf>
    <xf xfId="0" numFmtId="3" applyNumberFormat="1" borderId="36" applyBorder="1" fontId="4" applyFont="1" fillId="8" applyFill="1" applyAlignment="1">
      <alignment horizontal="center"/>
    </xf>
    <xf xfId="0" numFmtId="3" applyNumberFormat="1" borderId="37" applyBorder="1" fontId="4" applyFont="1" fillId="0" applyAlignment="1">
      <alignment horizontal="center"/>
    </xf>
    <xf xfId="0" numFmtId="3" applyNumberFormat="1" borderId="38" applyBorder="1" fontId="4" applyFont="1" fillId="0" applyAlignment="1">
      <alignment horizontal="center"/>
    </xf>
    <xf xfId="0" numFmtId="3" applyNumberFormat="1" borderId="17" applyBorder="1" fontId="8" applyFont="1" fillId="2" applyFill="1" applyAlignment="1">
      <alignment horizontal="center"/>
    </xf>
    <xf xfId="0" numFmtId="3" applyNumberFormat="1" borderId="17" applyBorder="1" fontId="4" applyFont="1" fillId="9" applyFill="1" applyAlignment="1">
      <alignment horizontal="center"/>
    </xf>
    <xf xfId="0" numFmtId="3" applyNumberFormat="1" borderId="21" applyBorder="1" fontId="8" applyFont="1" fillId="0" applyAlignment="1">
      <alignment horizontal="center"/>
    </xf>
    <xf xfId="0" numFmtId="3" applyNumberFormat="1" borderId="21" applyBorder="1" fontId="7" applyFont="1" fillId="7" applyFill="1" applyAlignment="1">
      <alignment horizontal="center"/>
    </xf>
    <xf xfId="0" numFmtId="3" applyNumberFormat="1" borderId="35" applyBorder="1" fontId="8" applyFont="1" fillId="2" applyFill="1" applyAlignment="1">
      <alignment horizontal="center"/>
    </xf>
    <xf xfId="0" numFmtId="3" applyNumberFormat="1" borderId="36" applyBorder="1" fontId="4" applyFont="1" fillId="10" applyFill="1" applyAlignment="1">
      <alignment horizontal="center"/>
    </xf>
    <xf xfId="0" numFmtId="3" applyNumberFormat="1" borderId="36" applyBorder="1" fontId="7" applyFont="1" fillId="7" applyFill="1" applyAlignment="1">
      <alignment horizontal="center"/>
    </xf>
    <xf xfId="0" numFmtId="3" applyNumberFormat="1" borderId="36" applyBorder="1" fontId="4" applyFont="1" fillId="9" applyFill="1" applyAlignment="1">
      <alignment horizontal="center"/>
    </xf>
    <xf xfId="0" numFmtId="3" applyNumberFormat="1" borderId="36" applyBorder="1" fontId="8" applyFont="1" fillId="9" applyFill="1" applyAlignment="1">
      <alignment horizontal="center"/>
    </xf>
    <xf xfId="0" numFmtId="3" applyNumberFormat="1" borderId="36" applyBorder="1" fontId="8" applyFont="1" fillId="7" applyFill="1" applyAlignment="1">
      <alignment horizontal="center"/>
    </xf>
    <xf xfId="0" numFmtId="0" borderId="39" applyBorder="1" fontId="4" applyFont="1" fillId="0" applyAlignment="1">
      <alignment horizontal="center"/>
    </xf>
    <xf xfId="0" numFmtId="164" applyNumberFormat="1" borderId="39" applyBorder="1" fontId="4" applyFont="1" fillId="0" applyAlignment="1">
      <alignment horizontal="center"/>
    </xf>
    <xf xfId="0" numFmtId="3" applyNumberFormat="1" borderId="16" applyBorder="1" fontId="4" applyFont="1" fillId="7" applyFill="1" applyAlignment="1">
      <alignment horizontal="center"/>
    </xf>
    <xf xfId="0" numFmtId="3" applyNumberFormat="1" borderId="21" applyBorder="1" fontId="4" applyFont="1" fillId="9" applyFill="1" applyAlignment="1">
      <alignment horizontal="center"/>
    </xf>
    <xf xfId="0" numFmtId="3" applyNumberFormat="1" borderId="21" applyBorder="1" fontId="4" applyFont="1" fillId="11" applyFill="1" applyAlignment="1">
      <alignment horizontal="center"/>
    </xf>
    <xf xfId="0" numFmtId="3" applyNumberFormat="1" borderId="21" applyBorder="1" fontId="2" applyFont="1" fillId="4" applyFill="1" applyAlignment="1">
      <alignment horizontal="center"/>
    </xf>
    <xf xfId="0" numFmtId="3" applyNumberFormat="1" borderId="21" applyBorder="1" fontId="2" applyFont="1" fillId="0" applyAlignment="1">
      <alignment horizontal="center"/>
    </xf>
    <xf xfId="0" numFmtId="3" applyNumberFormat="1" borderId="21" applyBorder="1" fontId="2" applyFont="1" fillId="2" applyFill="1" applyAlignment="1">
      <alignment horizontal="center"/>
    </xf>
    <xf xfId="0" numFmtId="3" applyNumberFormat="1" borderId="21" applyBorder="1" fontId="4" applyFont="1" fillId="12" applyFill="1" applyAlignment="1">
      <alignment horizontal="center"/>
    </xf>
    <xf xfId="0" numFmtId="3" applyNumberFormat="1" borderId="21" applyBorder="1" fontId="8" applyFont="1" fillId="12" applyFill="1" applyAlignment="1">
      <alignment horizontal="center"/>
    </xf>
    <xf xfId="0" numFmtId="3" applyNumberFormat="1" borderId="21" applyBorder="1" fontId="8" applyFont="1" fillId="7" applyFill="1" applyAlignment="1">
      <alignment horizontal="center"/>
    </xf>
    <xf xfId="0" numFmtId="3" applyNumberFormat="1" borderId="36" applyBorder="1" fontId="2" applyFont="1" fillId="4" applyFill="1" applyAlignment="1">
      <alignment horizontal="center"/>
    </xf>
    <xf xfId="0" numFmtId="3" applyNumberFormat="1" borderId="33" applyBorder="1" fontId="2" applyFont="1" fillId="0" applyAlignment="1">
      <alignment horizontal="center"/>
    </xf>
    <xf xfId="0" numFmtId="3" applyNumberFormat="1" borderId="36" applyBorder="1" fontId="4" applyFont="1" fillId="12" applyFill="1" applyAlignment="1">
      <alignment horizontal="center"/>
    </xf>
    <xf xfId="0" numFmtId="3" applyNumberFormat="1" borderId="28" applyBorder="1" fontId="4" applyFont="1" fillId="7" applyFill="1" applyAlignment="1">
      <alignment horizontal="center"/>
    </xf>
    <xf xfId="0" numFmtId="3" applyNumberFormat="1" borderId="9" applyBorder="1" fontId="2" applyFont="1" fillId="4" applyFill="1" applyAlignment="1">
      <alignment horizontal="center"/>
    </xf>
    <xf xfId="0" numFmtId="3" applyNumberFormat="1" borderId="9" applyBorder="1" fontId="2" applyFont="1" fillId="0" applyAlignment="1">
      <alignment horizontal="center"/>
    </xf>
    <xf xfId="0" numFmtId="3" applyNumberFormat="1" borderId="9" applyBorder="1" fontId="4" applyFont="1" fillId="9" applyFill="1" applyAlignment="1">
      <alignment horizontal="center"/>
    </xf>
    <xf xfId="0" numFmtId="3" applyNumberFormat="1" borderId="3" applyBorder="1" fontId="4" applyFont="1" fillId="4" applyFill="1" applyAlignment="1">
      <alignment horizontal="center"/>
    </xf>
    <xf xfId="0" numFmtId="3" applyNumberFormat="1" borderId="3" applyBorder="1" fontId="4" applyFont="1" fillId="7" applyFill="1" applyAlignment="1">
      <alignment horizontal="center"/>
    </xf>
    <xf xfId="0" numFmtId="3" applyNumberFormat="1" borderId="3" applyBorder="1" fontId="2" applyFont="1" fillId="4" applyFill="1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3" applyNumberFormat="1" borderId="3" applyBorder="1" fontId="4" applyFont="1" fillId="9" applyFill="1" applyAlignment="1">
      <alignment horizontal="center"/>
    </xf>
    <xf xfId="0" numFmtId="3" applyNumberFormat="1" borderId="4" applyBorder="1" fontId="4" applyFont="1" fillId="2" applyFill="1" applyAlignment="1">
      <alignment horizontal="center"/>
    </xf>
    <xf xfId="0" numFmtId="0" borderId="40" applyBorder="1" fontId="4" applyFont="1" fillId="4" applyFill="1" applyAlignment="1">
      <alignment horizontal="center"/>
    </xf>
    <xf xfId="0" numFmtId="0" borderId="29" applyBorder="1" fontId="4" applyFont="1" fillId="0" applyAlignment="1">
      <alignment horizontal="center"/>
    </xf>
    <xf xfId="0" numFmtId="3" applyNumberFormat="1" borderId="25" applyBorder="1" fontId="4" applyFont="1" fillId="7" applyFill="1" applyAlignment="1">
      <alignment horizontal="center"/>
    </xf>
    <xf xfId="0" numFmtId="3" applyNumberFormat="1" borderId="26" applyBorder="1" fontId="4" applyFont="1" fillId="2" applyFill="1" applyAlignment="1">
      <alignment horizontal="center"/>
    </xf>
    <xf xfId="0" numFmtId="3" applyNumberFormat="1" borderId="25" applyBorder="1" fontId="4" applyFont="1" fillId="2" applyFill="1" applyAlignment="1">
      <alignment horizontal="center"/>
    </xf>
    <xf xfId="0" numFmtId="0" borderId="20" applyBorder="1" fontId="2" applyFont="1" fillId="4" applyFill="1" applyAlignment="1">
      <alignment horizontal="left"/>
    </xf>
    <xf xfId="0" numFmtId="3" applyNumberFormat="1" borderId="8" applyBorder="1" fontId="4" applyFont="1" fillId="2" applyFill="1" applyAlignment="1">
      <alignment horizontal="center"/>
    </xf>
    <xf xfId="0" numFmtId="3" applyNumberFormat="1" borderId="10" applyBorder="1" fontId="4" applyFont="1" fillId="2" applyFill="1" applyAlignment="1">
      <alignment horizontal="center"/>
    </xf>
    <xf xfId="0" numFmtId="3" applyNumberFormat="1" borderId="41" applyBorder="1" fontId="4" applyFont="1" fillId="7" applyFill="1" applyAlignment="1">
      <alignment horizontal="center"/>
    </xf>
    <xf xfId="0" numFmtId="3" applyNumberFormat="1" borderId="42" applyBorder="1" fontId="4" applyFont="1" fillId="2" applyFill="1" applyAlignment="1">
      <alignment horizontal="center"/>
    </xf>
    <xf xfId="0" numFmtId="0" borderId="9" applyBorder="1" fontId="6" applyFont="1" fillId="0" applyAlignment="1">
      <alignment horizontal="left"/>
    </xf>
    <xf xfId="0" numFmtId="3" applyNumberFormat="1" borderId="8" applyBorder="1" fontId="4" applyFont="1" fillId="7" applyFill="1" applyAlignment="1">
      <alignment horizontal="center"/>
    </xf>
    <xf xfId="0" numFmtId="0" borderId="2" applyBorder="1" fontId="6" applyFont="1" fillId="0" applyAlignment="1">
      <alignment horizontal="left" wrapText="1"/>
    </xf>
    <xf xfId="0" numFmtId="0" borderId="3" applyBorder="1" fontId="6" applyFont="1" fillId="0" applyAlignment="1">
      <alignment horizontal="left" wrapText="1"/>
    </xf>
    <xf xfId="0" numFmtId="0" borderId="4" applyBorder="1" fontId="6" applyFont="1" fillId="0" applyAlignment="1">
      <alignment horizontal="left" wrapText="1"/>
    </xf>
    <xf xfId="0" numFmtId="3" applyNumberFormat="1" borderId="4" applyBorder="1" fontId="4" applyFont="1" fillId="7" applyFill="1" applyAlignment="1">
      <alignment horizontal="center"/>
    </xf>
    <xf xfId="0" numFmtId="3" applyNumberFormat="1" borderId="31" applyBorder="1" fontId="2" applyFont="1" fillId="0" applyAlignment="1">
      <alignment horizontal="center"/>
    </xf>
    <xf xfId="0" numFmtId="0" borderId="25" applyBorder="1" fontId="6" applyFont="1" fillId="0" applyAlignment="1">
      <alignment horizontal="left" wrapText="1"/>
    </xf>
    <xf xfId="0" numFmtId="0" borderId="26" applyBorder="1" fontId="6" applyFont="1" fillId="0" applyAlignment="1">
      <alignment horizontal="left" wrapText="1"/>
    </xf>
    <xf xfId="0" numFmtId="3" applyNumberFormat="1" borderId="21" applyBorder="1" fontId="7" applyFont="1" fillId="0" applyAlignment="1">
      <alignment horizontal="center"/>
    </xf>
    <xf xfId="0" numFmtId="3" applyNumberFormat="1" borderId="21" applyBorder="1" fontId="2" applyFont="1" fillId="7" applyFill="1" applyAlignment="1">
      <alignment horizontal="center"/>
    </xf>
    <xf xfId="0" numFmtId="3" applyNumberFormat="1" borderId="21" applyBorder="1" fontId="2" applyFont="1" fillId="7" applyFill="1" applyAlignment="1">
      <alignment horizontal="left"/>
    </xf>
    <xf xfId="0" numFmtId="3" applyNumberFormat="1" borderId="21" applyBorder="1" fontId="2" applyFont="1" fillId="9" applyFill="1" applyAlignment="1">
      <alignment horizontal="left"/>
    </xf>
    <xf xfId="0" numFmtId="3" applyNumberFormat="1" borderId="26" applyBorder="1" fontId="2" applyFont="1" fillId="2" applyFill="1" applyAlignment="1">
      <alignment horizontal="center"/>
    </xf>
    <xf xfId="0" numFmtId="0" borderId="37" applyBorder="1" fontId="6" applyFont="1" fillId="0" applyAlignment="1">
      <alignment horizontal="left" wrapText="1"/>
    </xf>
    <xf xfId="0" numFmtId="0" borderId="38" applyBorder="1" fontId="6" applyFont="1" fillId="0" applyAlignment="1">
      <alignment horizontal="left" wrapText="1"/>
    </xf>
    <xf xfId="0" numFmtId="3" applyNumberFormat="1" borderId="36" applyBorder="1" fontId="2" applyFont="1" fillId="2" applyFill="1" applyAlignment="1">
      <alignment horizontal="center"/>
    </xf>
    <xf xfId="0" numFmtId="3" applyNumberFormat="1" borderId="43" applyBorder="1" fontId="4" applyFont="1" fillId="2" applyFill="1" applyAlignment="1">
      <alignment horizontal="center"/>
    </xf>
    <xf xfId="0" numFmtId="3" applyNumberFormat="1" borderId="3" applyBorder="1" fontId="2" applyFont="1" fillId="2" applyFill="1" applyAlignment="1">
      <alignment horizontal="center"/>
    </xf>
    <xf xfId="0" numFmtId="0" borderId="8" applyBorder="1" fontId="6" applyFont="1" fillId="0" applyAlignment="1">
      <alignment horizontal="left" wrapText="1"/>
    </xf>
    <xf xfId="0" numFmtId="0" borderId="10" applyBorder="1" fontId="6" applyFont="1" fillId="0" applyAlignment="1">
      <alignment horizontal="left" wrapText="1"/>
    </xf>
    <xf xfId="0" numFmtId="0" borderId="30" applyBorder="1" fontId="6" applyFont="1" fillId="0" applyAlignment="1">
      <alignment horizontal="left" wrapText="1"/>
    </xf>
    <xf xfId="0" numFmtId="0" borderId="31" applyBorder="1" fontId="6" applyFont="1" fillId="0" applyAlignment="1">
      <alignment horizontal="left" wrapText="1"/>
    </xf>
    <xf xfId="0" numFmtId="3" applyNumberFormat="1" borderId="17" applyBorder="1" fontId="2" applyFont="1" fillId="2" applyFill="1" applyAlignment="1">
      <alignment horizontal="center"/>
    </xf>
    <xf xfId="0" numFmtId="3" applyNumberFormat="1" borderId="42" applyBorder="1" fontId="4" applyFont="1" fillId="7" applyFill="1" applyAlignment="1">
      <alignment horizontal="center"/>
    </xf>
    <xf xfId="0" numFmtId="3" applyNumberFormat="1" borderId="21" applyBorder="1" fontId="8" applyFont="1" fillId="9" applyFill="1" applyAlignment="1">
      <alignment horizontal="center"/>
    </xf>
    <xf xfId="0" numFmtId="3" applyNumberFormat="1" borderId="9" applyBorder="1" fontId="2" applyFont="1" fillId="2" applyFill="1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M71"/>
  <sheetViews>
    <sheetView workbookViewId="0" tabSelected="1">
      <pane state="frozen" activePane="topRight" topLeftCell="C1" ySplit="0" xSplit="2"/>
    </sheetView>
  </sheetViews>
  <sheetFormatPr defaultRowHeight="15" x14ac:dyDescent="0.25"/>
  <cols>
    <col min="1" max="1" style="174" width="26.005" customWidth="1" bestFit="1"/>
    <col min="2" max="2" style="174" width="26.14785714285714" customWidth="1" bestFit="1"/>
    <col min="3" max="3" style="174" width="35.71928571428572" customWidth="1" bestFit="1"/>
    <col min="4" max="4" style="175" width="13.576428571428572" customWidth="1" bestFit="1"/>
    <col min="5" max="5" style="175" width="13.576428571428572" customWidth="1" bestFit="1"/>
    <col min="6" max="6" style="175" width="13.576428571428572" customWidth="1" bestFit="1"/>
    <col min="7" max="7" style="175" width="13.576428571428572" customWidth="1" bestFit="1"/>
    <col min="8" max="8" style="175" width="13.576428571428572" customWidth="1" bestFit="1"/>
    <col min="9" max="9" style="175" width="13.576428571428572" customWidth="1" bestFit="1"/>
    <col min="10" max="10" style="175" width="13.576428571428572" customWidth="1" bestFit="1"/>
    <col min="11" max="11" style="175" width="13.576428571428572" customWidth="1" bestFit="1"/>
    <col min="12" max="12" style="175" width="13.576428571428572" customWidth="1" bestFit="1"/>
    <col min="13" max="13" style="175" width="13.576428571428572" customWidth="1" bestFit="1"/>
    <col min="14" max="14" style="175" width="13.576428571428572" customWidth="1" bestFit="1"/>
    <col min="15" max="15" style="175" width="13.576428571428572" customWidth="1" bestFit="1"/>
    <col min="16" max="16" style="175" width="13.576428571428572" customWidth="1" bestFit="1"/>
    <col min="17" max="17" style="175" width="13.576428571428572" customWidth="1" bestFit="1"/>
    <col min="18" max="18" style="175" width="13.576428571428572" customWidth="1" bestFit="1"/>
    <col min="19" max="19" style="175" width="13.576428571428572" customWidth="1" bestFit="1"/>
    <col min="20" max="20" style="175" width="13.576428571428572" customWidth="1" bestFit="1"/>
    <col min="21" max="21" style="175" width="13.576428571428572" customWidth="1" bestFit="1"/>
    <col min="22" max="22" style="175" width="13.576428571428572" customWidth="1" bestFit="1"/>
    <col min="23" max="23" style="175" width="13.576428571428572" customWidth="1" bestFit="1"/>
    <col min="24" max="24" style="175" width="13.576428571428572" customWidth="1" bestFit="1"/>
    <col min="25" max="25" style="175" width="13.576428571428572" customWidth="1" bestFit="1"/>
    <col min="26" max="26" style="175" width="13.576428571428572" customWidth="1" bestFit="1"/>
    <col min="27" max="27" style="175" width="13.576428571428572" customWidth="1" bestFit="1"/>
    <col min="28" max="28" style="175" width="16.290714285714284" customWidth="1" bestFit="1"/>
    <col min="29" max="29" style="175" width="14.290714285714287" customWidth="1" bestFit="1"/>
    <col min="30" max="30" style="175" width="13.576428571428572" customWidth="1" bestFit="1"/>
    <col min="31" max="31" style="175" width="13.576428571428572" customWidth="1" bestFit="1"/>
    <col min="32" max="32" style="175" width="13.576428571428572" customWidth="1" bestFit="1"/>
    <col min="33" max="33" style="176" width="8.862142857142858" customWidth="1" bestFit="1"/>
    <col min="34" max="34" style="175" width="13.576428571428572" customWidth="1" bestFit="1"/>
    <col min="35" max="35" style="176" width="13.576428571428572" customWidth="1" bestFit="1"/>
    <col min="36" max="36" style="175" width="15.005" customWidth="1" bestFit="1"/>
    <col min="37" max="37" style="175" width="15.719285714285713" customWidth="1" bestFit="1"/>
    <col min="38" max="38" style="176" width="13.576428571428572" customWidth="1" bestFit="1"/>
    <col min="39" max="39" style="177" width="13.576428571428572" customWidth="1" bestFit="1"/>
    <col min="40" max="40" style="176" width="7.2907142857142855" customWidth="1" bestFit="1"/>
    <col min="41" max="41" style="178" width="18.576428571428572" customWidth="1" bestFit="1"/>
    <col min="42" max="42" style="176" width="13.576428571428572" customWidth="1" bestFit="1"/>
    <col min="43" max="43" style="176" width="13.576428571428572" customWidth="1" bestFit="1"/>
    <col min="44" max="44" style="176" width="13.576428571428572" customWidth="1" bestFit="1"/>
    <col min="45" max="45" style="176" width="13.576428571428572" customWidth="1" bestFit="1"/>
    <col min="46" max="46" style="176" width="13.576428571428572" customWidth="1" bestFit="1"/>
    <col min="47" max="47" style="176" width="13.576428571428572" customWidth="1" bestFit="1"/>
    <col min="48" max="48" style="176" width="13.576428571428572" customWidth="1" bestFit="1"/>
    <col min="49" max="49" style="176" width="13.576428571428572" customWidth="1" bestFit="1"/>
    <col min="50" max="50" style="176" width="13.576428571428572" customWidth="1" bestFit="1"/>
    <col min="51" max="51" style="176" width="13.576428571428572" customWidth="1" bestFit="1"/>
    <col min="52" max="52" style="176" width="13.576428571428572" customWidth="1" bestFit="1"/>
    <col min="53" max="53" style="176" width="13.576428571428572" customWidth="1" bestFit="1"/>
    <col min="54" max="54" style="176" width="13.576428571428572" customWidth="1" bestFit="1"/>
    <col min="55" max="55" style="176" width="13.576428571428572" customWidth="1" bestFit="1"/>
    <col min="56" max="56" style="176" width="13.576428571428572" customWidth="1" bestFit="1"/>
    <col min="57" max="57" style="176" width="13.576428571428572" customWidth="1" bestFit="1"/>
    <col min="58" max="58" style="176" width="13.576428571428572" customWidth="1" bestFit="1"/>
    <col min="59" max="59" style="176" width="13.576428571428572" customWidth="1" bestFit="1"/>
    <col min="60" max="60" style="176" width="13.576428571428572" customWidth="1" bestFit="1"/>
    <col min="61" max="61" style="176" width="13.576428571428572" customWidth="1" bestFit="1"/>
    <col min="62" max="62" style="176" width="13.576428571428572" customWidth="1" bestFit="1"/>
    <col min="63" max="63" style="176" width="13.576428571428572" customWidth="1" bestFit="1"/>
    <col min="64" max="64" style="176" width="13.576428571428572" customWidth="1" bestFit="1"/>
    <col min="65" max="65" style="176" width="13.576428571428572" customWidth="1" bestFit="1"/>
    <col min="66" max="66" style="176" width="13.576428571428572" customWidth="1" bestFit="1"/>
    <col min="67" max="67" style="176" width="13.576428571428572" customWidth="1" bestFit="1"/>
    <col min="68" max="68" style="176" width="13.576428571428572" customWidth="1" bestFit="1"/>
    <col min="69" max="69" style="176" width="13.576428571428572" customWidth="1" bestFit="1"/>
    <col min="70" max="70" style="176" width="13.576428571428572" customWidth="1" bestFit="1"/>
    <col min="71" max="71" style="176" width="13.576428571428572" customWidth="1" bestFit="1"/>
    <col min="72" max="72" style="176" width="13.576428571428572" customWidth="1" bestFit="1"/>
    <col min="73" max="73" style="176" width="13.576428571428572" customWidth="1" bestFit="1"/>
    <col min="74" max="74" style="176" width="13.576428571428572" customWidth="1" bestFit="1"/>
    <col min="75" max="75" style="176" width="13.576428571428572" customWidth="1" bestFit="1"/>
    <col min="76" max="76" style="176" width="13.576428571428572" customWidth="1" bestFit="1"/>
    <col min="77" max="77" style="176" width="13.576428571428572" customWidth="1" bestFit="1"/>
    <col min="78" max="78" style="176" width="13.576428571428572" customWidth="1" bestFit="1"/>
    <col min="79" max="79" style="176" width="13.576428571428572" customWidth="1" bestFit="1"/>
    <col min="80" max="80" style="176" width="13.576428571428572" customWidth="1" bestFit="1"/>
    <col min="81" max="81" style="176" width="13.576428571428572" customWidth="1" bestFit="1"/>
    <col min="82" max="82" style="176" width="13.576428571428572" customWidth="1" bestFit="1"/>
    <col min="83" max="83" style="176" width="13.576428571428572" customWidth="1" bestFit="1"/>
    <col min="84" max="84" style="176" width="13.576428571428572" customWidth="1" bestFit="1"/>
    <col min="85" max="85" style="176" width="13.576428571428572" customWidth="1" bestFit="1"/>
    <col min="86" max="86" style="176" width="13.576428571428572" customWidth="1" bestFit="1"/>
    <col min="87" max="87" style="176" width="13.576428571428572" customWidth="1" bestFit="1"/>
    <col min="88" max="88" style="176" width="13.576428571428572" customWidth="1" bestFit="1"/>
    <col min="89" max="89" style="176" width="13.576428571428572" customWidth="1" bestFit="1"/>
    <col min="90" max="90" style="176" width="13.576428571428572" customWidth="1" bestFit="1"/>
    <col min="91" max="91" style="176" width="13.576428571428572" customWidth="1" bestFit="1"/>
    <col min="92" max="92" style="176" width="13.576428571428572" customWidth="1" bestFit="1"/>
    <col min="93" max="93" style="176" width="13.576428571428572" customWidth="1" bestFit="1"/>
    <col min="94" max="94" style="176" width="13.576428571428572" customWidth="1" bestFit="1"/>
    <col min="95" max="95" style="176" width="13.576428571428572" customWidth="1" bestFit="1"/>
    <col min="96" max="96" style="176" width="13.576428571428572" customWidth="1" bestFit="1"/>
    <col min="97" max="97" style="176" width="13.576428571428572" customWidth="1" bestFit="1"/>
    <col min="98" max="98" style="176" width="13.576428571428572" customWidth="1" bestFit="1"/>
    <col min="99" max="99" style="176" width="13.576428571428572" customWidth="1" bestFit="1"/>
    <col min="100" max="100" style="176" width="13.576428571428572" customWidth="1" bestFit="1"/>
    <col min="101" max="101" style="176" width="13.576428571428572" customWidth="1" bestFit="1"/>
    <col min="102" max="102" style="176" width="13.576428571428572" customWidth="1" bestFit="1"/>
    <col min="103" max="103" style="176" width="13.576428571428572" customWidth="1" bestFit="1"/>
    <col min="104" max="104" style="176" width="13.576428571428572" customWidth="1" bestFit="1"/>
    <col min="105" max="105" style="176" width="13.576428571428572" customWidth="1" bestFit="1"/>
    <col min="106" max="106" style="176" width="13.576428571428572" customWidth="1" bestFit="1"/>
    <col min="107" max="107" style="176" width="13.576428571428572" customWidth="1" bestFit="1"/>
    <col min="108" max="108" style="176" width="13.576428571428572" customWidth="1" bestFit="1"/>
    <col min="109" max="109" style="176" width="13.576428571428572" customWidth="1" bestFit="1"/>
    <col min="110" max="110" style="176" width="13.576428571428572" customWidth="1" bestFit="1"/>
    <col min="111" max="111" style="176" width="13.576428571428572" customWidth="1" bestFit="1"/>
    <col min="112" max="112" style="176" width="13.576428571428572" customWidth="1" bestFit="1"/>
    <col min="113" max="113" style="176" width="13.576428571428572" customWidth="1" bestFit="1"/>
    <col min="114" max="114" style="176" width="13.576428571428572" customWidth="1" bestFit="1"/>
    <col min="115" max="115" style="176" width="13.576428571428572" customWidth="1" bestFit="1"/>
    <col min="116" max="116" style="176" width="13.576428571428572" customWidth="1" bestFit="1"/>
    <col min="117" max="117" style="176" width="13.576428571428572" customWidth="1" bestFit="1"/>
    <col min="118" max="118" style="176" width="13.576428571428572" customWidth="1" bestFit="1"/>
    <col min="119" max="119" style="176" width="13.576428571428572" customWidth="1" bestFit="1"/>
    <col min="120" max="120" style="176" width="13.576428571428572" customWidth="1" bestFit="1"/>
    <col min="121" max="121" style="176" width="13.576428571428572" customWidth="1" bestFit="1"/>
    <col min="122" max="122" style="176" width="13.576428571428572" customWidth="1" bestFit="1"/>
    <col min="123" max="123" style="176" width="13.576428571428572" customWidth="1" bestFit="1"/>
    <col min="124" max="124" style="176" width="13.576428571428572" customWidth="1" bestFit="1"/>
    <col min="125" max="125" style="176" width="13.576428571428572" customWidth="1" bestFit="1"/>
    <col min="126" max="126" style="176" width="13.576428571428572" customWidth="1" bestFit="1"/>
    <col min="127" max="127" style="176" width="13.576428571428572" customWidth="1" bestFit="1"/>
    <col min="128" max="128" style="176" width="13.576428571428572" customWidth="1" bestFit="1"/>
    <col min="129" max="129" style="176" width="13.576428571428572" customWidth="1" bestFit="1"/>
    <col min="130" max="130" style="176" width="13.576428571428572" customWidth="1" bestFit="1"/>
    <col min="131" max="131" style="176" width="13.576428571428572" customWidth="1" bestFit="1"/>
    <col min="132" max="132" style="176" width="13.576428571428572" customWidth="1" bestFit="1"/>
    <col min="133" max="133" style="176" width="13.576428571428572" customWidth="1" bestFit="1"/>
    <col min="134" max="134" style="176" width="13.576428571428572" customWidth="1" bestFit="1"/>
    <col min="135" max="135" style="176" width="13.576428571428572" customWidth="1" bestFit="1"/>
    <col min="136" max="136" style="176" width="13.576428571428572" customWidth="1" bestFit="1"/>
    <col min="137" max="137" style="176" width="13.576428571428572" customWidth="1" bestFit="1"/>
    <col min="138" max="138" style="176" width="13.576428571428572" customWidth="1" bestFit="1"/>
    <col min="139" max="139" style="176" width="13.576428571428572" customWidth="1" bestFit="1"/>
    <col min="140" max="140" style="176" width="13.576428571428572" customWidth="1" bestFit="1"/>
    <col min="141" max="141" style="176" width="13.576428571428572" customWidth="1" bestFit="1"/>
    <col min="142" max="142" style="176" width="13.576428571428572" customWidth="1" bestFit="1"/>
    <col min="143" max="143" style="176" width="13.576428571428572" customWidth="1" bestFit="1"/>
    <col min="144" max="144" style="176" width="13.576428571428572" customWidth="1" bestFit="1"/>
    <col min="145" max="145" style="176" width="13.576428571428572" customWidth="1" bestFit="1"/>
    <col min="146" max="146" style="176" width="13.576428571428572" customWidth="1" bestFit="1"/>
    <col min="147" max="147" style="176" width="13.576428571428572" customWidth="1" bestFit="1"/>
    <col min="148" max="148" style="176" width="13.576428571428572" customWidth="1" bestFit="1"/>
    <col min="149" max="149" style="176" width="13.576428571428572" customWidth="1" bestFit="1"/>
    <col min="150" max="150" style="176" width="13.576428571428572" customWidth="1" bestFit="1"/>
    <col min="151" max="151" style="176" width="13.576428571428572" customWidth="1" bestFit="1"/>
    <col min="152" max="152" style="176" width="13.576428571428572" customWidth="1" bestFit="1"/>
    <col min="153" max="153" style="176" width="13.576428571428572" customWidth="1" bestFit="1"/>
    <col min="154" max="154" style="176" width="13.576428571428572" customWidth="1" bestFit="1"/>
    <col min="155" max="155" style="176" width="13.576428571428572" customWidth="1" bestFit="1"/>
    <col min="156" max="156" style="176" width="13.576428571428572" customWidth="1" bestFit="1"/>
    <col min="157" max="157" style="176" width="13.576428571428572" customWidth="1" bestFit="1"/>
    <col min="158" max="158" style="176" width="13.576428571428572" customWidth="1" bestFit="1"/>
    <col min="159" max="159" style="176" width="13.576428571428572" customWidth="1" bestFit="1"/>
    <col min="160" max="160" style="176" width="13.576428571428572" customWidth="1" bestFit="1"/>
    <col min="161" max="161" style="176" width="13.576428571428572" customWidth="1" bestFit="1"/>
    <col min="162" max="162" style="176" width="13.576428571428572" customWidth="1" bestFit="1"/>
    <col min="163" max="163" style="176" width="13.576428571428572" customWidth="1" bestFit="1"/>
    <col min="164" max="164" style="176" width="13.576428571428572" customWidth="1" bestFit="1"/>
    <col min="165" max="165" style="176" width="13.576428571428572" customWidth="1" bestFit="1"/>
    <col min="166" max="166" style="176" width="13.576428571428572" customWidth="1" bestFit="1"/>
    <col min="167" max="167" style="176" width="13.576428571428572" customWidth="1" bestFit="1"/>
    <col min="168" max="168" style="176" width="13.576428571428572" customWidth="1" bestFit="1"/>
    <col min="169" max="169" style="176" width="13.576428571428572" customWidth="1" bestFit="1"/>
  </cols>
  <sheetData>
    <row x14ac:dyDescent="0.25" r="1" customHeight="1" ht="18.75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2"/>
      <c r="AI1" s="3"/>
      <c r="AJ1" s="2"/>
      <c r="AK1" s="2"/>
      <c r="AL1" s="3"/>
      <c r="AM1" s="4"/>
      <c r="AN1" s="3"/>
      <c r="AO1" s="5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</row>
    <row x14ac:dyDescent="0.25" r="2" customHeight="1" ht="24.75">
      <c r="A2" s="1"/>
      <c r="B2" s="1"/>
      <c r="C2" s="6" t="s">
        <v>0</v>
      </c>
      <c r="D2" s="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2"/>
      <c r="AI2" s="3"/>
      <c r="AJ2" s="2"/>
      <c r="AK2" s="2"/>
      <c r="AL2" s="3"/>
      <c r="AM2" s="4"/>
      <c r="AN2" s="3"/>
      <c r="AO2" s="5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</row>
    <row x14ac:dyDescent="0.25" r="3" customHeight="1" ht="30.75">
      <c r="A3" s="1"/>
      <c r="B3" s="1"/>
      <c r="C3" s="8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2"/>
      <c r="AI3" s="3"/>
      <c r="AJ3" s="2"/>
      <c r="AK3" s="2"/>
      <c r="AL3" s="3"/>
      <c r="AM3" s="4"/>
      <c r="AN3" s="3"/>
      <c r="AO3" s="5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</row>
    <row x14ac:dyDescent="0.25" r="4" customHeight="1" ht="19.5">
      <c r="A4" s="9"/>
      <c r="B4" s="10"/>
      <c r="C4" s="11"/>
      <c r="D4" s="12" t="s">
        <v>2</v>
      </c>
      <c r="E4" s="13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8</v>
      </c>
      <c r="K4" s="15" t="s">
        <v>9</v>
      </c>
      <c r="L4" s="15" t="s">
        <v>3</v>
      </c>
      <c r="M4" s="14" t="s">
        <v>4</v>
      </c>
      <c r="N4" s="14" t="s">
        <v>5</v>
      </c>
      <c r="O4" s="14" t="s">
        <v>6</v>
      </c>
      <c r="P4" s="14" t="s">
        <v>7</v>
      </c>
      <c r="Q4" s="14" t="s">
        <v>8</v>
      </c>
      <c r="R4" s="15" t="s">
        <v>9</v>
      </c>
      <c r="S4" s="15" t="s">
        <v>3</v>
      </c>
      <c r="T4" s="14" t="s">
        <v>4</v>
      </c>
      <c r="U4" s="14" t="s">
        <v>5</v>
      </c>
      <c r="V4" s="14" t="s">
        <v>6</v>
      </c>
      <c r="W4" s="14" t="s">
        <v>7</v>
      </c>
      <c r="X4" s="14" t="s">
        <v>8</v>
      </c>
      <c r="Y4" s="15" t="s">
        <v>9</v>
      </c>
      <c r="Z4" s="15" t="s">
        <v>3</v>
      </c>
      <c r="AA4" s="14" t="s">
        <v>4</v>
      </c>
      <c r="AB4" s="14" t="s">
        <v>5</v>
      </c>
      <c r="AC4" s="14" t="s">
        <v>6</v>
      </c>
      <c r="AD4" s="14" t="s">
        <v>7</v>
      </c>
      <c r="AE4" s="14" t="s">
        <v>8</v>
      </c>
      <c r="AF4" s="16" t="s">
        <v>9</v>
      </c>
      <c r="AG4" s="3"/>
      <c r="AH4" s="17" t="s">
        <v>10</v>
      </c>
      <c r="AI4" s="3"/>
      <c r="AJ4" s="18" t="s">
        <v>11</v>
      </c>
      <c r="AK4" s="19" t="s">
        <v>12</v>
      </c>
      <c r="AL4" s="3"/>
      <c r="AM4" s="20" t="s">
        <v>13</v>
      </c>
      <c r="AN4" s="3"/>
      <c r="AO4" s="21" t="s">
        <v>14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</row>
    <row x14ac:dyDescent="0.25" r="5" customHeight="1" ht="19.5">
      <c r="A5" s="22" t="s">
        <v>15</v>
      </c>
      <c r="B5" s="23" t="s">
        <v>16</v>
      </c>
      <c r="C5" s="24" t="s">
        <v>17</v>
      </c>
      <c r="D5" s="25"/>
      <c r="E5" s="26">
        <v>46054</v>
      </c>
      <c r="F5" s="27">
        <v>46055</v>
      </c>
      <c r="G5" s="27">
        <v>46056</v>
      </c>
      <c r="H5" s="27">
        <v>46057</v>
      </c>
      <c r="I5" s="28">
        <v>46058</v>
      </c>
      <c r="J5" s="28">
        <v>46059</v>
      </c>
      <c r="K5" s="27">
        <v>46060</v>
      </c>
      <c r="L5" s="27">
        <v>46061</v>
      </c>
      <c r="M5" s="28">
        <v>46062</v>
      </c>
      <c r="N5" s="28">
        <v>46063</v>
      </c>
      <c r="O5" s="28">
        <v>46064</v>
      </c>
      <c r="P5" s="28">
        <v>46065</v>
      </c>
      <c r="Q5" s="28">
        <v>46066</v>
      </c>
      <c r="R5" s="27">
        <v>46067</v>
      </c>
      <c r="S5" s="27">
        <v>46068</v>
      </c>
      <c r="T5" s="28">
        <v>46069</v>
      </c>
      <c r="U5" s="28">
        <v>46070</v>
      </c>
      <c r="V5" s="28">
        <v>46071</v>
      </c>
      <c r="W5" s="28">
        <v>46072</v>
      </c>
      <c r="X5" s="28">
        <v>46073</v>
      </c>
      <c r="Y5" s="27">
        <v>46074</v>
      </c>
      <c r="Z5" s="27">
        <v>46075</v>
      </c>
      <c r="AA5" s="28">
        <v>46076</v>
      </c>
      <c r="AB5" s="28">
        <v>46077</v>
      </c>
      <c r="AC5" s="28">
        <v>46078</v>
      </c>
      <c r="AD5" s="28">
        <v>46079</v>
      </c>
      <c r="AE5" s="28">
        <v>46080</v>
      </c>
      <c r="AF5" s="27">
        <v>46081</v>
      </c>
      <c r="AG5" s="3"/>
      <c r="AH5" s="29"/>
      <c r="AI5" s="3"/>
      <c r="AJ5" s="30"/>
      <c r="AK5" s="31"/>
      <c r="AL5" s="3"/>
      <c r="AM5" s="32"/>
      <c r="AN5" s="3"/>
      <c r="AO5" s="3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</row>
    <row x14ac:dyDescent="0.25" r="6" customHeight="1" ht="20.25">
      <c r="A6" s="34" t="s">
        <v>18</v>
      </c>
      <c r="B6" s="34" t="s">
        <v>19</v>
      </c>
      <c r="C6" s="35" t="s">
        <v>20</v>
      </c>
      <c r="D6" s="36">
        <v>1</v>
      </c>
      <c r="E6" s="37"/>
      <c r="F6" s="38">
        <v>8</v>
      </c>
      <c r="G6" s="39">
        <v>8</v>
      </c>
      <c r="H6" s="39">
        <v>8</v>
      </c>
      <c r="I6" s="38">
        <v>8</v>
      </c>
      <c r="J6" s="38">
        <v>8</v>
      </c>
      <c r="K6" s="40"/>
      <c r="L6" s="40"/>
      <c r="M6" s="38">
        <v>8</v>
      </c>
      <c r="N6" s="39">
        <v>8</v>
      </c>
      <c r="O6" s="39">
        <v>8</v>
      </c>
      <c r="P6" s="38">
        <v>8</v>
      </c>
      <c r="Q6" s="38">
        <v>8</v>
      </c>
      <c r="R6" s="40"/>
      <c r="S6" s="40"/>
      <c r="T6" s="38">
        <v>8</v>
      </c>
      <c r="U6" s="39">
        <v>8</v>
      </c>
      <c r="V6" s="39">
        <v>8</v>
      </c>
      <c r="W6" s="38">
        <v>8</v>
      </c>
      <c r="X6" s="38">
        <v>8</v>
      </c>
      <c r="Y6" s="40"/>
      <c r="Z6" s="40"/>
      <c r="AA6" s="38">
        <v>8</v>
      </c>
      <c r="AB6" s="39">
        <v>8</v>
      </c>
      <c r="AC6" s="39">
        <v>8</v>
      </c>
      <c r="AD6" s="38">
        <v>8</v>
      </c>
      <c r="AE6" s="38">
        <v>8</v>
      </c>
      <c r="AF6" s="40"/>
      <c r="AG6" s="41"/>
      <c r="AH6" s="39">
        <f>SUM(E6:AF6)</f>
      </c>
      <c r="AI6" s="42"/>
      <c r="AJ6" s="43">
        <f>AH6/8</f>
      </c>
      <c r="AK6" s="44">
        <v>20</v>
      </c>
      <c r="AL6" s="45"/>
      <c r="AM6" s="46">
        <f>_xlfn.CONCAT(AJ6,"/",AK6)</f>
      </c>
      <c r="AN6" s="45"/>
      <c r="AO6" s="47">
        <f>AJ6/AK6*8000</f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</row>
    <row x14ac:dyDescent="0.25" r="7" customHeight="1" ht="20.25">
      <c r="A7" s="48" t="s">
        <v>21</v>
      </c>
      <c r="B7" s="48" t="s">
        <v>22</v>
      </c>
      <c r="C7" s="49" t="s">
        <v>23</v>
      </c>
      <c r="D7" s="50">
        <v>1</v>
      </c>
      <c r="E7" s="51"/>
      <c r="F7" s="52">
        <v>8</v>
      </c>
      <c r="G7" s="53">
        <v>8</v>
      </c>
      <c r="H7" s="53">
        <v>8</v>
      </c>
      <c r="I7" s="52">
        <v>8</v>
      </c>
      <c r="J7" s="52">
        <v>8</v>
      </c>
      <c r="K7" s="54"/>
      <c r="L7" s="54"/>
      <c r="M7" s="52">
        <v>8</v>
      </c>
      <c r="N7" s="53">
        <v>8</v>
      </c>
      <c r="O7" s="53">
        <v>8</v>
      </c>
      <c r="P7" s="52">
        <v>8</v>
      </c>
      <c r="Q7" s="52">
        <v>8</v>
      </c>
      <c r="R7" s="54"/>
      <c r="S7" s="54"/>
      <c r="T7" s="52">
        <v>8</v>
      </c>
      <c r="U7" s="53">
        <v>8</v>
      </c>
      <c r="V7" s="53">
        <v>8</v>
      </c>
      <c r="W7" s="52">
        <v>8</v>
      </c>
      <c r="X7" s="52">
        <v>8</v>
      </c>
      <c r="Y7" s="54"/>
      <c r="Z7" s="54"/>
      <c r="AA7" s="52">
        <v>8</v>
      </c>
      <c r="AB7" s="53">
        <v>8</v>
      </c>
      <c r="AC7" s="53">
        <v>8</v>
      </c>
      <c r="AD7" s="52">
        <v>8</v>
      </c>
      <c r="AE7" s="52">
        <v>8</v>
      </c>
      <c r="AF7" s="54"/>
      <c r="AG7" s="55"/>
      <c r="AH7" s="53">
        <f>SUM(E7:AF7)</f>
      </c>
      <c r="AI7" s="56"/>
      <c r="AJ7" s="57">
        <f>AH7/8</f>
      </c>
      <c r="AK7" s="58">
        <v>20</v>
      </c>
      <c r="AL7" s="59"/>
      <c r="AM7" s="60">
        <f>_xlfn.CONCAT(AJ7,"/",AK7)</f>
      </c>
      <c r="AN7" s="59"/>
      <c r="AO7" s="61">
        <f>AJ7/AK7*8000</f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</row>
    <row x14ac:dyDescent="0.25" r="8" customHeight="1" ht="20.25">
      <c r="A8" s="48" t="s">
        <v>24</v>
      </c>
      <c r="B8" s="48" t="s">
        <v>25</v>
      </c>
      <c r="C8" s="49" t="s">
        <v>26</v>
      </c>
      <c r="D8" s="50">
        <v>1</v>
      </c>
      <c r="E8" s="51"/>
      <c r="F8" s="52">
        <v>8</v>
      </c>
      <c r="G8" s="53">
        <v>8</v>
      </c>
      <c r="H8" s="53">
        <v>8</v>
      </c>
      <c r="I8" s="52">
        <v>8</v>
      </c>
      <c r="J8" s="62">
        <v>8</v>
      </c>
      <c r="K8" s="54"/>
      <c r="L8" s="54"/>
      <c r="M8" s="62">
        <v>8</v>
      </c>
      <c r="N8" s="62">
        <v>8</v>
      </c>
      <c r="O8" s="62">
        <v>8</v>
      </c>
      <c r="P8" s="62">
        <v>8</v>
      </c>
      <c r="Q8" s="52">
        <v>8</v>
      </c>
      <c r="R8" s="54"/>
      <c r="S8" s="54"/>
      <c r="T8" s="52">
        <v>8</v>
      </c>
      <c r="U8" s="53">
        <v>8</v>
      </c>
      <c r="V8" s="53">
        <v>8</v>
      </c>
      <c r="W8" s="52">
        <v>8</v>
      </c>
      <c r="X8" s="52">
        <v>8</v>
      </c>
      <c r="Y8" s="54">
        <v>8</v>
      </c>
      <c r="Z8" s="54"/>
      <c r="AA8" s="52">
        <v>8</v>
      </c>
      <c r="AB8" s="53">
        <v>8</v>
      </c>
      <c r="AC8" s="53">
        <v>8</v>
      </c>
      <c r="AD8" s="52">
        <v>8</v>
      </c>
      <c r="AE8" s="52">
        <v>8</v>
      </c>
      <c r="AF8" s="54"/>
      <c r="AG8" s="55"/>
      <c r="AH8" s="53">
        <f>SUM(E8:AF8)</f>
      </c>
      <c r="AI8" s="56"/>
      <c r="AJ8" s="57">
        <f>AH8/8</f>
      </c>
      <c r="AK8" s="58">
        <v>21</v>
      </c>
      <c r="AL8" s="59"/>
      <c r="AM8" s="60">
        <f>_xlfn.CONCAT(AJ8,"/",AK8)</f>
      </c>
      <c r="AN8" s="59"/>
      <c r="AO8" s="61">
        <f>AJ8/AK8*9000</f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</row>
    <row x14ac:dyDescent="0.25" r="9" customHeight="1" ht="20.25">
      <c r="A9" s="48" t="s">
        <v>27</v>
      </c>
      <c r="B9" s="48" t="s">
        <v>28</v>
      </c>
      <c r="C9" s="49" t="s">
        <v>29</v>
      </c>
      <c r="D9" s="50">
        <v>1</v>
      </c>
      <c r="E9" s="51"/>
      <c r="F9" s="52">
        <v>8</v>
      </c>
      <c r="G9" s="53">
        <v>8</v>
      </c>
      <c r="H9" s="53">
        <v>8</v>
      </c>
      <c r="I9" s="52">
        <v>8</v>
      </c>
      <c r="J9" s="52">
        <v>8</v>
      </c>
      <c r="K9" s="54"/>
      <c r="L9" s="54"/>
      <c r="M9" s="52">
        <v>8</v>
      </c>
      <c r="N9" s="53">
        <v>8</v>
      </c>
      <c r="O9" s="53">
        <v>8</v>
      </c>
      <c r="P9" s="52">
        <v>8</v>
      </c>
      <c r="Q9" s="52">
        <v>8</v>
      </c>
      <c r="R9" s="54"/>
      <c r="S9" s="54"/>
      <c r="T9" s="52">
        <v>8</v>
      </c>
      <c r="U9" s="53">
        <v>8</v>
      </c>
      <c r="V9" s="53">
        <v>8</v>
      </c>
      <c r="W9" s="52">
        <v>8</v>
      </c>
      <c r="X9" s="52">
        <v>8</v>
      </c>
      <c r="Y9" s="54"/>
      <c r="Z9" s="54"/>
      <c r="AA9" s="52">
        <v>8</v>
      </c>
      <c r="AB9" s="53">
        <v>8</v>
      </c>
      <c r="AC9" s="53">
        <v>8</v>
      </c>
      <c r="AD9" s="52">
        <v>8</v>
      </c>
      <c r="AE9" s="52">
        <v>8</v>
      </c>
      <c r="AF9" s="54">
        <v>8</v>
      </c>
      <c r="AG9" s="55"/>
      <c r="AH9" s="53">
        <f>SUM(E9:AF9)</f>
      </c>
      <c r="AI9" s="56"/>
      <c r="AJ9" s="57">
        <f>AH9/8</f>
      </c>
      <c r="AK9" s="58">
        <v>21</v>
      </c>
      <c r="AL9" s="59"/>
      <c r="AM9" s="60">
        <f>_xlfn.CONCAT(AJ9,"/",AK9)</f>
      </c>
      <c r="AN9" s="59"/>
      <c r="AO9" s="61">
        <f>AJ9/AK9*8000</f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</row>
    <row x14ac:dyDescent="0.25" r="10" customHeight="1" ht="20.25">
      <c r="A10" s="48" t="s">
        <v>30</v>
      </c>
      <c r="B10" s="48" t="s">
        <v>31</v>
      </c>
      <c r="C10" s="49" t="s">
        <v>32</v>
      </c>
      <c r="D10" s="50">
        <v>1</v>
      </c>
      <c r="E10" s="51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4">
        <v>8</v>
      </c>
      <c r="W10" s="52">
        <v>8</v>
      </c>
      <c r="X10" s="52">
        <v>8</v>
      </c>
      <c r="Y10" s="54"/>
      <c r="Z10" s="54"/>
      <c r="AA10" s="52">
        <v>8</v>
      </c>
      <c r="AB10" s="53">
        <v>8</v>
      </c>
      <c r="AC10" s="53">
        <v>8</v>
      </c>
      <c r="AD10" s="52">
        <v>8</v>
      </c>
      <c r="AE10" s="52">
        <v>8</v>
      </c>
      <c r="AF10" s="54"/>
      <c r="AG10" s="55"/>
      <c r="AH10" s="53">
        <f>SUM(E10:AF10)</f>
      </c>
      <c r="AI10" s="56"/>
      <c r="AJ10" s="57">
        <f>AH10/8</f>
      </c>
      <c r="AK10" s="58">
        <v>20</v>
      </c>
      <c r="AL10" s="59"/>
      <c r="AM10" s="60">
        <f>_xlfn.CONCAT(AJ10,"/",AK10)</f>
      </c>
      <c r="AN10" s="59"/>
      <c r="AO10" s="61">
        <f>AJ10/AK10*5000</f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</row>
    <row x14ac:dyDescent="0.25" r="11" customHeight="1" ht="20.25">
      <c r="A11" s="48" t="s">
        <v>33</v>
      </c>
      <c r="B11" s="48" t="s">
        <v>25</v>
      </c>
      <c r="C11" s="49" t="s">
        <v>34</v>
      </c>
      <c r="D11" s="50">
        <v>1</v>
      </c>
      <c r="E11" s="51"/>
      <c r="F11" s="52">
        <v>8</v>
      </c>
      <c r="G11" s="53">
        <v>8</v>
      </c>
      <c r="H11" s="53">
        <v>8</v>
      </c>
      <c r="I11" s="52">
        <v>8</v>
      </c>
      <c r="J11" s="52">
        <v>8</v>
      </c>
      <c r="K11" s="54"/>
      <c r="L11" s="54"/>
      <c r="M11" s="52">
        <v>8</v>
      </c>
      <c r="N11" s="53">
        <v>8</v>
      </c>
      <c r="O11" s="53">
        <v>8</v>
      </c>
      <c r="P11" s="52">
        <v>8</v>
      </c>
      <c r="Q11" s="52">
        <v>8</v>
      </c>
      <c r="R11" s="54"/>
      <c r="S11" s="54"/>
      <c r="T11" s="52">
        <v>8</v>
      </c>
      <c r="U11" s="53">
        <v>8</v>
      </c>
      <c r="V11" s="53">
        <v>8</v>
      </c>
      <c r="W11" s="52">
        <v>8</v>
      </c>
      <c r="X11" s="52">
        <v>8</v>
      </c>
      <c r="Y11" s="54"/>
      <c r="Z11" s="54"/>
      <c r="AA11" s="52">
        <v>8</v>
      </c>
      <c r="AB11" s="53">
        <v>8</v>
      </c>
      <c r="AC11" s="53">
        <v>8</v>
      </c>
      <c r="AD11" s="52">
        <v>8</v>
      </c>
      <c r="AE11" s="52">
        <v>8</v>
      </c>
      <c r="AF11" s="54"/>
      <c r="AG11" s="55"/>
      <c r="AH11" s="53">
        <f>SUM(E11:AF11)</f>
      </c>
      <c r="AI11" s="56"/>
      <c r="AJ11" s="57">
        <f>AH11/8</f>
      </c>
      <c r="AK11" s="58">
        <v>20</v>
      </c>
      <c r="AL11" s="59"/>
      <c r="AM11" s="60">
        <f>_xlfn.CONCAT(AJ11,"/",AK11)</f>
      </c>
      <c r="AN11" s="59"/>
      <c r="AO11" s="61">
        <f>AJ11/AK11*8000</f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</row>
    <row x14ac:dyDescent="0.25" r="12" customHeight="1" ht="20.25">
      <c r="A12" s="48" t="s">
        <v>35</v>
      </c>
      <c r="B12" s="48" t="s">
        <v>36</v>
      </c>
      <c r="C12" s="49" t="s">
        <v>37</v>
      </c>
      <c r="D12" s="50">
        <v>1</v>
      </c>
      <c r="E12" s="51"/>
      <c r="F12" s="52">
        <v>8</v>
      </c>
      <c r="G12" s="53">
        <v>8</v>
      </c>
      <c r="H12" s="53">
        <v>8</v>
      </c>
      <c r="I12" s="52">
        <v>8</v>
      </c>
      <c r="J12" s="52">
        <v>8</v>
      </c>
      <c r="K12" s="54"/>
      <c r="L12" s="54"/>
      <c r="M12" s="52">
        <v>8</v>
      </c>
      <c r="N12" s="53">
        <v>8</v>
      </c>
      <c r="O12" s="53">
        <v>8</v>
      </c>
      <c r="P12" s="52">
        <v>8</v>
      </c>
      <c r="Q12" s="52">
        <v>8</v>
      </c>
      <c r="R12" s="54"/>
      <c r="S12" s="54"/>
      <c r="T12" s="52">
        <v>8</v>
      </c>
      <c r="U12" s="53">
        <v>8</v>
      </c>
      <c r="V12" s="53">
        <v>8</v>
      </c>
      <c r="W12" s="52">
        <v>8</v>
      </c>
      <c r="X12" s="52">
        <v>8</v>
      </c>
      <c r="Y12" s="54"/>
      <c r="Z12" s="54"/>
      <c r="AA12" s="52">
        <v>8</v>
      </c>
      <c r="AB12" s="53">
        <v>8</v>
      </c>
      <c r="AC12" s="53">
        <v>8</v>
      </c>
      <c r="AD12" s="52">
        <v>8</v>
      </c>
      <c r="AE12" s="52">
        <v>8</v>
      </c>
      <c r="AF12" s="54"/>
      <c r="AG12" s="55"/>
      <c r="AH12" s="53">
        <f>SUM(E12:AF12)</f>
      </c>
      <c r="AI12" s="56"/>
      <c r="AJ12" s="57">
        <f>AH12/8</f>
      </c>
      <c r="AK12" s="58">
        <v>20</v>
      </c>
      <c r="AL12" s="59"/>
      <c r="AM12" s="60">
        <f>_xlfn.CONCAT(AJ12,"/",AK12)</f>
      </c>
      <c r="AN12" s="59"/>
      <c r="AO12" s="61">
        <f>AJ12/AK12*5000</f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</row>
    <row x14ac:dyDescent="0.25" r="13" customHeight="1" ht="21">
      <c r="A13" s="65" t="s">
        <v>38</v>
      </c>
      <c r="B13" s="65" t="s">
        <v>39</v>
      </c>
      <c r="C13" s="66" t="s">
        <v>37</v>
      </c>
      <c r="D13" s="67">
        <v>1</v>
      </c>
      <c r="E13" s="68"/>
      <c r="F13" s="69">
        <v>8</v>
      </c>
      <c r="G13" s="70">
        <v>8</v>
      </c>
      <c r="H13" s="70">
        <v>8</v>
      </c>
      <c r="I13" s="69">
        <v>8</v>
      </c>
      <c r="J13" s="69">
        <v>8</v>
      </c>
      <c r="K13" s="71"/>
      <c r="L13" s="71"/>
      <c r="M13" s="69">
        <v>8</v>
      </c>
      <c r="N13" s="70">
        <v>8</v>
      </c>
      <c r="O13" s="70">
        <v>8</v>
      </c>
      <c r="P13" s="69">
        <v>8</v>
      </c>
      <c r="Q13" s="69">
        <v>8</v>
      </c>
      <c r="R13" s="71"/>
      <c r="S13" s="71"/>
      <c r="T13" s="69">
        <v>8</v>
      </c>
      <c r="U13" s="70">
        <v>8</v>
      </c>
      <c r="V13" s="70">
        <v>8</v>
      </c>
      <c r="W13" s="69">
        <v>8</v>
      </c>
      <c r="X13" s="69">
        <v>8</v>
      </c>
      <c r="Y13" s="71"/>
      <c r="Z13" s="71"/>
      <c r="AA13" s="69">
        <v>8</v>
      </c>
      <c r="AB13" s="70">
        <v>8</v>
      </c>
      <c r="AC13" s="70">
        <v>8</v>
      </c>
      <c r="AD13" s="69">
        <v>8</v>
      </c>
      <c r="AE13" s="69">
        <v>8</v>
      </c>
      <c r="AF13" s="71"/>
      <c r="AG13" s="55"/>
      <c r="AH13" s="70">
        <f>SUM(E13:AF13)</f>
      </c>
      <c r="AI13" s="56"/>
      <c r="AJ13" s="72">
        <f>AH13/8</f>
      </c>
      <c r="AK13" s="73">
        <v>20</v>
      </c>
      <c r="AL13" s="59"/>
      <c r="AM13" s="74">
        <f>_xlfn.CONCAT(AJ13,"/",AK13)</f>
      </c>
      <c r="AN13" s="59"/>
      <c r="AO13" s="75">
        <f>AJ13/AK13*5000</f>
      </c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</row>
    <row x14ac:dyDescent="0.25" r="14" customHeight="1" ht="16">
      <c r="A14" s="34" t="s">
        <v>40</v>
      </c>
      <c r="B14" s="34" t="s">
        <v>41</v>
      </c>
      <c r="C14" s="35" t="s">
        <v>42</v>
      </c>
      <c r="D14" s="76">
        <v>4</v>
      </c>
      <c r="E14" s="37">
        <v>8</v>
      </c>
      <c r="F14" s="38">
        <v>8</v>
      </c>
      <c r="G14" s="39">
        <v>8</v>
      </c>
      <c r="H14" s="77"/>
      <c r="I14" s="77"/>
      <c r="J14" s="38">
        <v>8</v>
      </c>
      <c r="K14" s="40">
        <v>8</v>
      </c>
      <c r="L14" s="40">
        <v>8</v>
      </c>
      <c r="M14" s="38">
        <v>8</v>
      </c>
      <c r="N14" s="39">
        <v>8</v>
      </c>
      <c r="O14" s="39">
        <v>8</v>
      </c>
      <c r="P14" s="77"/>
      <c r="Q14" s="77"/>
      <c r="R14" s="40">
        <v>8</v>
      </c>
      <c r="S14" s="40">
        <v>8</v>
      </c>
      <c r="T14" s="38">
        <v>8</v>
      </c>
      <c r="U14" s="39">
        <v>8</v>
      </c>
      <c r="V14" s="39">
        <v>8</v>
      </c>
      <c r="W14" s="39">
        <v>8</v>
      </c>
      <c r="X14" s="77"/>
      <c r="Y14" s="77"/>
      <c r="Z14" s="40">
        <v>8</v>
      </c>
      <c r="AA14" s="38">
        <v>8</v>
      </c>
      <c r="AB14" s="78">
        <v>8</v>
      </c>
      <c r="AC14" s="78">
        <v>8</v>
      </c>
      <c r="AD14" s="38">
        <v>8</v>
      </c>
      <c r="AE14" s="39">
        <v>8</v>
      </c>
      <c r="AF14" s="77"/>
      <c r="AG14" s="55"/>
      <c r="AH14" s="39">
        <f>SUM(E14:AF14)</f>
      </c>
      <c r="AI14" s="56"/>
      <c r="AJ14" s="79">
        <f>AH14/8</f>
      </c>
      <c r="AK14" s="80">
        <v>21</v>
      </c>
      <c r="AL14" s="59"/>
      <c r="AM14" s="46">
        <f>_xlfn.CONCAT(AJ14,"/",AK14)</f>
      </c>
      <c r="AN14" s="59"/>
      <c r="AO14" s="47">
        <f>AJ14/AK14*6000</f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</row>
    <row x14ac:dyDescent="0.25" r="15" customHeight="1" ht="16">
      <c r="A15" s="48" t="s">
        <v>43</v>
      </c>
      <c r="B15" s="48" t="s">
        <v>44</v>
      </c>
      <c r="C15" s="49" t="s">
        <v>42</v>
      </c>
      <c r="D15" s="50"/>
      <c r="E15" s="81">
        <v>8</v>
      </c>
      <c r="F15" s="63"/>
      <c r="G15" s="63"/>
      <c r="H15" s="53">
        <v>8</v>
      </c>
      <c r="I15" s="52">
        <v>8</v>
      </c>
      <c r="J15" s="52">
        <v>8</v>
      </c>
      <c r="K15" s="54">
        <v>8</v>
      </c>
      <c r="L15" s="54">
        <v>8</v>
      </c>
      <c r="M15" s="53">
        <v>8</v>
      </c>
      <c r="N15" s="63"/>
      <c r="O15" s="63"/>
      <c r="P15" s="52">
        <v>8</v>
      </c>
      <c r="Q15" s="52">
        <v>8</v>
      </c>
      <c r="R15" s="54">
        <v>8</v>
      </c>
      <c r="S15" s="54">
        <v>8</v>
      </c>
      <c r="T15" s="52">
        <v>8</v>
      </c>
      <c r="U15" s="53">
        <v>8</v>
      </c>
      <c r="V15" s="63"/>
      <c r="W15" s="63"/>
      <c r="X15" s="52">
        <v>8</v>
      </c>
      <c r="Y15" s="54">
        <v>8</v>
      </c>
      <c r="Z15" s="54">
        <v>8</v>
      </c>
      <c r="AA15" s="52">
        <v>8</v>
      </c>
      <c r="AB15" s="82">
        <v>8</v>
      </c>
      <c r="AC15" s="82">
        <v>8</v>
      </c>
      <c r="AD15" s="63"/>
      <c r="AE15" s="63"/>
      <c r="AF15" s="54">
        <v>8</v>
      </c>
      <c r="AG15" s="55"/>
      <c r="AH15" s="53">
        <f>SUM(E15:AF15)</f>
      </c>
      <c r="AI15" s="56"/>
      <c r="AJ15" s="57">
        <f>AH15/8</f>
      </c>
      <c r="AK15" s="58">
        <v>20</v>
      </c>
      <c r="AL15" s="59"/>
      <c r="AM15" s="60">
        <f>_xlfn.CONCAT(AJ15,"/",AK15)</f>
      </c>
      <c r="AN15" s="59"/>
      <c r="AO15" s="83">
        <f>AJ15/AK15*6000</f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</row>
    <row x14ac:dyDescent="0.25" r="16" customHeight="1" ht="16">
      <c r="A16" s="48" t="s">
        <v>45</v>
      </c>
      <c r="B16" s="48" t="s">
        <v>46</v>
      </c>
      <c r="C16" s="49" t="s">
        <v>42</v>
      </c>
      <c r="D16" s="50"/>
      <c r="E16" s="84"/>
      <c r="F16" s="52">
        <v>8</v>
      </c>
      <c r="G16" s="53">
        <v>8</v>
      </c>
      <c r="H16" s="53">
        <v>8</v>
      </c>
      <c r="I16" s="52">
        <v>8</v>
      </c>
      <c r="J16" s="52">
        <v>8</v>
      </c>
      <c r="K16" s="54">
        <v>8</v>
      </c>
      <c r="L16" s="63"/>
      <c r="M16" s="63"/>
      <c r="N16" s="53">
        <v>8</v>
      </c>
      <c r="O16" s="53">
        <v>8</v>
      </c>
      <c r="P16" s="52">
        <v>8</v>
      </c>
      <c r="Q16" s="52">
        <v>8</v>
      </c>
      <c r="R16" s="54">
        <v>8</v>
      </c>
      <c r="S16" s="62">
        <v>8</v>
      </c>
      <c r="T16" s="63"/>
      <c r="U16" s="63"/>
      <c r="V16" s="53">
        <v>8</v>
      </c>
      <c r="W16" s="52">
        <v>8</v>
      </c>
      <c r="X16" s="52">
        <v>8</v>
      </c>
      <c r="Y16" s="54">
        <v>8</v>
      </c>
      <c r="Z16" s="54">
        <v>8</v>
      </c>
      <c r="AA16" s="53">
        <v>8</v>
      </c>
      <c r="AB16" s="63"/>
      <c r="AC16" s="63"/>
      <c r="AD16" s="52">
        <v>8</v>
      </c>
      <c r="AE16" s="52">
        <v>8</v>
      </c>
      <c r="AF16" s="54">
        <v>8</v>
      </c>
      <c r="AG16" s="55"/>
      <c r="AH16" s="53">
        <f>SUM(E16:AF16)</f>
      </c>
      <c r="AI16" s="56"/>
      <c r="AJ16" s="57">
        <f>AH16/8</f>
      </c>
      <c r="AK16" s="58">
        <v>21</v>
      </c>
      <c r="AL16" s="59"/>
      <c r="AM16" s="60">
        <f>_xlfn.CONCAT(AJ16,"/",AK16)</f>
      </c>
      <c r="AN16" s="59"/>
      <c r="AO16" s="83">
        <f>AJ16/AK16*6000</f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</row>
    <row x14ac:dyDescent="0.25" r="17" customHeight="1" ht="16">
      <c r="A17" s="65" t="s">
        <v>47</v>
      </c>
      <c r="B17" s="65" t="s">
        <v>48</v>
      </c>
      <c r="C17" s="66" t="s">
        <v>42</v>
      </c>
      <c r="D17" s="67"/>
      <c r="E17" s="68">
        <v>8</v>
      </c>
      <c r="F17" s="69">
        <v>8</v>
      </c>
      <c r="G17" s="70">
        <v>8</v>
      </c>
      <c r="H17" s="70">
        <v>8</v>
      </c>
      <c r="I17" s="70">
        <v>8</v>
      </c>
      <c r="J17" s="85"/>
      <c r="K17" s="85"/>
      <c r="L17" s="71">
        <v>8</v>
      </c>
      <c r="M17" s="69">
        <v>8</v>
      </c>
      <c r="N17" s="70">
        <v>8</v>
      </c>
      <c r="O17" s="70">
        <v>8</v>
      </c>
      <c r="P17" s="69">
        <v>8</v>
      </c>
      <c r="Q17" s="70">
        <v>8</v>
      </c>
      <c r="R17" s="85"/>
      <c r="S17" s="85"/>
      <c r="T17" s="69">
        <v>8</v>
      </c>
      <c r="U17" s="70">
        <v>8</v>
      </c>
      <c r="V17" s="70">
        <v>8</v>
      </c>
      <c r="W17" s="69">
        <v>8</v>
      </c>
      <c r="X17" s="69">
        <v>8</v>
      </c>
      <c r="Y17" s="71">
        <v>8</v>
      </c>
      <c r="Z17" s="85"/>
      <c r="AA17" s="85"/>
      <c r="AB17" s="86">
        <v>8</v>
      </c>
      <c r="AC17" s="86">
        <v>8</v>
      </c>
      <c r="AD17" s="69">
        <v>8</v>
      </c>
      <c r="AE17" s="70">
        <v>8</v>
      </c>
      <c r="AF17" s="71">
        <v>8</v>
      </c>
      <c r="AG17" s="55"/>
      <c r="AH17" s="70">
        <f>SUM(E17:AF17)</f>
      </c>
      <c r="AI17" s="56"/>
      <c r="AJ17" s="72">
        <f>AH17/8</f>
      </c>
      <c r="AK17" s="73">
        <v>22</v>
      </c>
      <c r="AL17" s="59"/>
      <c r="AM17" s="74">
        <f>_xlfn.CONCAT(AJ17,"/",AK17)</f>
      </c>
      <c r="AN17" s="59"/>
      <c r="AO17" s="87">
        <f>AJ17/AK17*6000</f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</row>
    <row x14ac:dyDescent="0.25" r="18" customHeight="1" ht="16">
      <c r="A18" s="34" t="s">
        <v>49</v>
      </c>
      <c r="B18" s="34" t="s">
        <v>50</v>
      </c>
      <c r="C18" s="35" t="s">
        <v>51</v>
      </c>
      <c r="D18" s="76">
        <v>4</v>
      </c>
      <c r="E18" s="37">
        <v>8</v>
      </c>
      <c r="F18" s="38">
        <v>8</v>
      </c>
      <c r="G18" s="39">
        <v>8</v>
      </c>
      <c r="H18" s="77"/>
      <c r="I18" s="77"/>
      <c r="J18" s="38">
        <v>8</v>
      </c>
      <c r="K18" s="40">
        <v>8</v>
      </c>
      <c r="L18" s="40">
        <v>8</v>
      </c>
      <c r="M18" s="38">
        <v>8</v>
      </c>
      <c r="N18" s="39">
        <v>8</v>
      </c>
      <c r="O18" s="39">
        <v>8</v>
      </c>
      <c r="P18" s="77"/>
      <c r="Q18" s="77"/>
      <c r="R18" s="40">
        <v>8</v>
      </c>
      <c r="S18" s="40">
        <v>8</v>
      </c>
      <c r="T18" s="38">
        <v>8</v>
      </c>
      <c r="U18" s="39">
        <v>8</v>
      </c>
      <c r="V18" s="39">
        <v>8</v>
      </c>
      <c r="W18" s="39">
        <v>8</v>
      </c>
      <c r="X18" s="77"/>
      <c r="Y18" s="77"/>
      <c r="Z18" s="40">
        <v>8</v>
      </c>
      <c r="AA18" s="38">
        <v>8</v>
      </c>
      <c r="AB18" s="78">
        <v>8</v>
      </c>
      <c r="AC18" s="78">
        <v>8</v>
      </c>
      <c r="AD18" s="38">
        <v>8</v>
      </c>
      <c r="AE18" s="39">
        <v>8</v>
      </c>
      <c r="AF18" s="77"/>
      <c r="AG18" s="55"/>
      <c r="AH18" s="39">
        <f>SUM(E18:AF18)</f>
      </c>
      <c r="AI18" s="56"/>
      <c r="AJ18" s="79">
        <f>AH18/8</f>
      </c>
      <c r="AK18" s="80">
        <v>21</v>
      </c>
      <c r="AL18" s="59"/>
      <c r="AM18" s="46">
        <f>_xlfn.CONCAT(AJ18,"/",AK18)</f>
      </c>
      <c r="AN18" s="59"/>
      <c r="AO18" s="47">
        <f>AJ18/AK18*5500</f>
      </c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</row>
    <row x14ac:dyDescent="0.25" r="19" customHeight="1" ht="16">
      <c r="A19" s="48" t="s">
        <v>52</v>
      </c>
      <c r="B19" s="48" t="s">
        <v>46</v>
      </c>
      <c r="C19" s="49" t="s">
        <v>51</v>
      </c>
      <c r="D19" s="50"/>
      <c r="E19" s="51">
        <v>8</v>
      </c>
      <c r="F19" s="63"/>
      <c r="G19" s="63"/>
      <c r="H19" s="53">
        <v>8</v>
      </c>
      <c r="I19" s="52">
        <v>8</v>
      </c>
      <c r="J19" s="52">
        <v>8</v>
      </c>
      <c r="K19" s="54">
        <v>8</v>
      </c>
      <c r="L19" s="54">
        <v>8</v>
      </c>
      <c r="M19" s="53">
        <v>8</v>
      </c>
      <c r="N19" s="63"/>
      <c r="O19" s="63"/>
      <c r="P19" s="52">
        <v>8</v>
      </c>
      <c r="Q19" s="52">
        <v>8</v>
      </c>
      <c r="R19" s="54">
        <v>8</v>
      </c>
      <c r="S19" s="54">
        <v>8</v>
      </c>
      <c r="T19" s="52">
        <v>8</v>
      </c>
      <c r="U19" s="53">
        <v>8</v>
      </c>
      <c r="V19" s="63"/>
      <c r="W19" s="63"/>
      <c r="X19" s="52">
        <v>8</v>
      </c>
      <c r="Y19" s="54">
        <v>8</v>
      </c>
      <c r="Z19" s="54">
        <v>8</v>
      </c>
      <c r="AA19" s="52">
        <v>8</v>
      </c>
      <c r="AB19" s="82">
        <v>8</v>
      </c>
      <c r="AC19" s="82">
        <v>8</v>
      </c>
      <c r="AD19" s="63"/>
      <c r="AE19" s="63"/>
      <c r="AF19" s="54">
        <v>8</v>
      </c>
      <c r="AG19" s="55"/>
      <c r="AH19" s="53">
        <f>SUM(E19:AF19)</f>
      </c>
      <c r="AI19" s="56"/>
      <c r="AJ19" s="57">
        <f>AH19/8</f>
      </c>
      <c r="AK19" s="58">
        <v>20</v>
      </c>
      <c r="AL19" s="59"/>
      <c r="AM19" s="60">
        <f>_xlfn.CONCAT(AJ19,"/",AK19)</f>
      </c>
      <c r="AN19" s="59"/>
      <c r="AO19" s="61">
        <f>AJ19/AK19*5500</f>
      </c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</row>
    <row x14ac:dyDescent="0.25" r="20" customHeight="1" ht="16">
      <c r="A20" s="48" t="s">
        <v>53</v>
      </c>
      <c r="B20" s="48" t="s">
        <v>54</v>
      </c>
      <c r="C20" s="49" t="s">
        <v>51</v>
      </c>
      <c r="D20" s="50"/>
      <c r="E20" s="84"/>
      <c r="F20" s="52">
        <v>8</v>
      </c>
      <c r="G20" s="53">
        <v>8</v>
      </c>
      <c r="H20" s="53">
        <v>8</v>
      </c>
      <c r="I20" s="52">
        <v>8</v>
      </c>
      <c r="J20" s="52">
        <v>8</v>
      </c>
      <c r="K20" s="54">
        <v>8</v>
      </c>
      <c r="L20" s="63"/>
      <c r="M20" s="63"/>
      <c r="N20" s="53">
        <v>8</v>
      </c>
      <c r="O20" s="53">
        <v>8</v>
      </c>
      <c r="P20" s="52">
        <v>8</v>
      </c>
      <c r="Q20" s="52">
        <v>8</v>
      </c>
      <c r="R20" s="54">
        <v>8</v>
      </c>
      <c r="S20" s="54">
        <v>8</v>
      </c>
      <c r="T20" s="63"/>
      <c r="U20" s="63"/>
      <c r="V20" s="53">
        <v>8</v>
      </c>
      <c r="W20" s="52">
        <v>8</v>
      </c>
      <c r="X20" s="52">
        <v>8</v>
      </c>
      <c r="Y20" s="54">
        <v>8</v>
      </c>
      <c r="Z20" s="54">
        <v>8</v>
      </c>
      <c r="AA20" s="53">
        <v>8</v>
      </c>
      <c r="AB20" s="63"/>
      <c r="AC20" s="63"/>
      <c r="AD20" s="52">
        <v>8</v>
      </c>
      <c r="AE20" s="52">
        <v>8</v>
      </c>
      <c r="AF20" s="54">
        <v>8</v>
      </c>
      <c r="AG20" s="55"/>
      <c r="AH20" s="53">
        <f>SUM(E20:AF20)</f>
      </c>
      <c r="AI20" s="56"/>
      <c r="AJ20" s="57">
        <f>AH20/8</f>
      </c>
      <c r="AK20" s="58">
        <v>21</v>
      </c>
      <c r="AL20" s="59"/>
      <c r="AM20" s="60">
        <f>_xlfn.CONCAT(AJ20,"/",AK20)</f>
      </c>
      <c r="AN20" s="59"/>
      <c r="AO20" s="61">
        <f>AJ20/AK20*5500</f>
      </c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</row>
    <row x14ac:dyDescent="0.25" r="21" customHeight="1" ht="16">
      <c r="A21" s="65" t="s">
        <v>55</v>
      </c>
      <c r="B21" s="65" t="s">
        <v>56</v>
      </c>
      <c r="C21" s="66" t="s">
        <v>51</v>
      </c>
      <c r="D21" s="67"/>
      <c r="E21" s="68">
        <v>8</v>
      </c>
      <c r="F21" s="69">
        <v>8</v>
      </c>
      <c r="G21" s="70">
        <v>8</v>
      </c>
      <c r="H21" s="70">
        <v>8</v>
      </c>
      <c r="I21" s="70">
        <v>8</v>
      </c>
      <c r="J21" s="85"/>
      <c r="K21" s="85"/>
      <c r="L21" s="71">
        <v>8</v>
      </c>
      <c r="M21" s="69">
        <v>8</v>
      </c>
      <c r="N21" s="70">
        <v>8</v>
      </c>
      <c r="O21" s="70">
        <v>8</v>
      </c>
      <c r="P21" s="69">
        <v>8</v>
      </c>
      <c r="Q21" s="70">
        <v>8</v>
      </c>
      <c r="R21" s="85"/>
      <c r="S21" s="85"/>
      <c r="T21" s="88">
        <v>8</v>
      </c>
      <c r="U21" s="70">
        <v>8</v>
      </c>
      <c r="V21" s="70">
        <v>8</v>
      </c>
      <c r="W21" s="69">
        <v>8</v>
      </c>
      <c r="X21" s="69">
        <v>8</v>
      </c>
      <c r="Y21" s="88">
        <v>8</v>
      </c>
      <c r="Z21" s="71"/>
      <c r="AA21" s="85"/>
      <c r="AB21" s="86">
        <v>8</v>
      </c>
      <c r="AC21" s="86">
        <v>8</v>
      </c>
      <c r="AD21" s="69">
        <v>8</v>
      </c>
      <c r="AE21" s="69">
        <v>8</v>
      </c>
      <c r="AF21" s="71">
        <v>8</v>
      </c>
      <c r="AG21" s="55"/>
      <c r="AH21" s="70">
        <f>SUM(E21:AF21)</f>
      </c>
      <c r="AI21" s="56"/>
      <c r="AJ21" s="72">
        <f>AH21/8</f>
      </c>
      <c r="AK21" s="73">
        <v>22</v>
      </c>
      <c r="AL21" s="59"/>
      <c r="AM21" s="74">
        <f>_xlfn.CONCAT(AJ21,"/",AK21)</f>
      </c>
      <c r="AN21" s="59"/>
      <c r="AO21" s="75">
        <f>AJ21/AK21*5500</f>
      </c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</row>
    <row x14ac:dyDescent="0.25" r="22" customHeight="1" ht="16">
      <c r="A22" s="34" t="s">
        <v>57</v>
      </c>
      <c r="B22" s="34" t="s">
        <v>58</v>
      </c>
      <c r="C22" s="35" t="s">
        <v>59</v>
      </c>
      <c r="D22" s="89">
        <v>37</v>
      </c>
      <c r="E22" s="37">
        <v>8</v>
      </c>
      <c r="F22" s="38">
        <v>8</v>
      </c>
      <c r="G22" s="39">
        <v>8</v>
      </c>
      <c r="H22" s="77"/>
      <c r="I22" s="77"/>
      <c r="J22" s="38">
        <v>8</v>
      </c>
      <c r="K22" s="40">
        <v>8</v>
      </c>
      <c r="L22" s="40">
        <v>8</v>
      </c>
      <c r="M22" s="38">
        <v>8</v>
      </c>
      <c r="N22" s="39">
        <v>8</v>
      </c>
      <c r="O22" s="39">
        <v>8</v>
      </c>
      <c r="P22" s="77"/>
      <c r="Q22" s="77"/>
      <c r="R22" s="40">
        <v>8</v>
      </c>
      <c r="S22" s="40">
        <v>8</v>
      </c>
      <c r="T22" s="38">
        <v>8</v>
      </c>
      <c r="U22" s="39">
        <v>8</v>
      </c>
      <c r="V22" s="39">
        <v>8</v>
      </c>
      <c r="W22" s="38">
        <v>8</v>
      </c>
      <c r="X22" s="77"/>
      <c r="Y22" s="77"/>
      <c r="Z22" s="40">
        <v>8</v>
      </c>
      <c r="AA22" s="38">
        <v>8</v>
      </c>
      <c r="AB22" s="78">
        <v>8</v>
      </c>
      <c r="AC22" s="78">
        <v>8</v>
      </c>
      <c r="AD22" s="38">
        <v>8</v>
      </c>
      <c r="AE22" s="39">
        <v>8</v>
      </c>
      <c r="AF22" s="77"/>
      <c r="AG22" s="55"/>
      <c r="AH22" s="39">
        <f>SUM(E22:AF22)</f>
      </c>
      <c r="AI22" s="56"/>
      <c r="AJ22" s="79">
        <f>AH22/8</f>
      </c>
      <c r="AK22" s="80">
        <v>21</v>
      </c>
      <c r="AL22" s="59"/>
      <c r="AM22" s="46">
        <f>_xlfn.CONCAT(AJ22,"/",AK22)</f>
      </c>
      <c r="AN22" s="59"/>
      <c r="AO22" s="47">
        <f>AJ22/AK22*4500</f>
      </c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</row>
    <row x14ac:dyDescent="0.25" r="23" customHeight="1" ht="16">
      <c r="A23" s="48" t="s">
        <v>60</v>
      </c>
      <c r="B23" s="48" t="s">
        <v>61</v>
      </c>
      <c r="C23" s="49" t="s">
        <v>59</v>
      </c>
      <c r="D23" s="50"/>
      <c r="E23" s="51">
        <v>8</v>
      </c>
      <c r="F23" s="52">
        <v>8</v>
      </c>
      <c r="G23" s="53">
        <v>8</v>
      </c>
      <c r="H23" s="63"/>
      <c r="I23" s="63"/>
      <c r="J23" s="52">
        <v>8</v>
      </c>
      <c r="K23" s="54">
        <v>8</v>
      </c>
      <c r="L23" s="54">
        <v>8</v>
      </c>
      <c r="M23" s="52">
        <v>8</v>
      </c>
      <c r="N23" s="53">
        <v>8</v>
      </c>
      <c r="O23" s="53">
        <v>8</v>
      </c>
      <c r="P23" s="63"/>
      <c r="Q23" s="63"/>
      <c r="R23" s="54">
        <v>8</v>
      </c>
      <c r="S23" s="54">
        <v>8</v>
      </c>
      <c r="T23" s="52">
        <v>8</v>
      </c>
      <c r="U23" s="53">
        <v>8</v>
      </c>
      <c r="V23" s="53">
        <v>8</v>
      </c>
      <c r="W23" s="52">
        <v>8</v>
      </c>
      <c r="X23" s="63"/>
      <c r="Y23" s="63"/>
      <c r="Z23" s="54">
        <v>8</v>
      </c>
      <c r="AA23" s="52">
        <v>8</v>
      </c>
      <c r="AB23" s="52">
        <v>8</v>
      </c>
      <c r="AC23" s="82">
        <v>8</v>
      </c>
      <c r="AD23" s="52">
        <v>8</v>
      </c>
      <c r="AE23" s="53">
        <v>8</v>
      </c>
      <c r="AF23" s="63"/>
      <c r="AG23" s="55"/>
      <c r="AH23" s="53">
        <f>SUM(E23:AF23)</f>
      </c>
      <c r="AI23" s="56"/>
      <c r="AJ23" s="57">
        <f>AH23/8</f>
      </c>
      <c r="AK23" s="58">
        <v>21</v>
      </c>
      <c r="AL23" s="59"/>
      <c r="AM23" s="60">
        <f>_xlfn.CONCAT(AJ23,"/",AK23)</f>
      </c>
      <c r="AN23" s="59"/>
      <c r="AO23" s="61">
        <f>AJ23/AK23*4500</f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</row>
    <row x14ac:dyDescent="0.25" r="24" customHeight="1" ht="16">
      <c r="A24" s="48" t="s">
        <v>62</v>
      </c>
      <c r="B24" s="48" t="s">
        <v>63</v>
      </c>
      <c r="C24" s="49" t="s">
        <v>59</v>
      </c>
      <c r="D24" s="50"/>
      <c r="E24" s="51">
        <v>8</v>
      </c>
      <c r="F24" s="52">
        <v>8</v>
      </c>
      <c r="G24" s="53">
        <v>8</v>
      </c>
      <c r="H24" s="63"/>
      <c r="I24" s="63"/>
      <c r="J24" s="52">
        <v>8</v>
      </c>
      <c r="K24" s="54">
        <v>8</v>
      </c>
      <c r="L24" s="54">
        <v>8</v>
      </c>
      <c r="M24" s="52">
        <v>8</v>
      </c>
      <c r="N24" s="53">
        <v>8</v>
      </c>
      <c r="O24" s="53">
        <v>8</v>
      </c>
      <c r="P24" s="63"/>
      <c r="Q24" s="63"/>
      <c r="R24" s="54">
        <v>8</v>
      </c>
      <c r="S24" s="90" t="s">
        <v>64</v>
      </c>
      <c r="T24" s="52">
        <v>8</v>
      </c>
      <c r="U24" s="53">
        <v>8</v>
      </c>
      <c r="V24" s="53">
        <v>8</v>
      </c>
      <c r="W24" s="52">
        <v>8</v>
      </c>
      <c r="X24" s="63"/>
      <c r="Y24" s="63"/>
      <c r="Z24" s="54">
        <v>8</v>
      </c>
      <c r="AA24" s="52">
        <v>8</v>
      </c>
      <c r="AB24" s="82">
        <v>8</v>
      </c>
      <c r="AC24" s="82">
        <v>8</v>
      </c>
      <c r="AD24" s="52">
        <v>8</v>
      </c>
      <c r="AE24" s="53">
        <v>8</v>
      </c>
      <c r="AF24" s="63"/>
      <c r="AG24" s="55"/>
      <c r="AH24" s="53">
        <f>SUM(E24:AF24)</f>
      </c>
      <c r="AI24" s="56"/>
      <c r="AJ24" s="57">
        <f>AH24/8</f>
      </c>
      <c r="AK24" s="58">
        <v>21</v>
      </c>
      <c r="AL24" s="59"/>
      <c r="AM24" s="60">
        <f>_xlfn.CONCAT(AJ24,"/",AK24)</f>
      </c>
      <c r="AN24" s="59"/>
      <c r="AO24" s="61">
        <f>AJ24/AK24*4500</f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</row>
    <row x14ac:dyDescent="0.25" r="25" customHeight="1" ht="16">
      <c r="A25" s="48" t="s">
        <v>65</v>
      </c>
      <c r="B25" s="48" t="s">
        <v>66</v>
      </c>
      <c r="C25" s="49" t="s">
        <v>59</v>
      </c>
      <c r="D25" s="50"/>
      <c r="E25" s="51">
        <v>8</v>
      </c>
      <c r="F25" s="53">
        <v>8</v>
      </c>
      <c r="G25" s="53">
        <v>8</v>
      </c>
      <c r="H25" s="63"/>
      <c r="I25" s="63"/>
      <c r="J25" s="53">
        <v>8</v>
      </c>
      <c r="K25" s="54">
        <v>8</v>
      </c>
      <c r="L25" s="54">
        <v>8</v>
      </c>
      <c r="M25" s="52">
        <v>8</v>
      </c>
      <c r="N25" s="53">
        <v>8</v>
      </c>
      <c r="O25" s="53">
        <v>8</v>
      </c>
      <c r="P25" s="63"/>
      <c r="Q25" s="63"/>
      <c r="R25" s="54">
        <v>8</v>
      </c>
      <c r="S25" s="54">
        <v>8</v>
      </c>
      <c r="T25" s="52">
        <v>8</v>
      </c>
      <c r="U25" s="53">
        <v>8</v>
      </c>
      <c r="V25" s="53">
        <v>8</v>
      </c>
      <c r="W25" s="52">
        <v>8</v>
      </c>
      <c r="X25" s="63"/>
      <c r="Y25" s="63"/>
      <c r="Z25" s="54">
        <v>8</v>
      </c>
      <c r="AA25" s="52">
        <v>8</v>
      </c>
      <c r="AB25" s="82">
        <v>8</v>
      </c>
      <c r="AC25" s="82">
        <v>8</v>
      </c>
      <c r="AD25" s="52">
        <v>8</v>
      </c>
      <c r="AE25" s="53">
        <v>8</v>
      </c>
      <c r="AF25" s="63"/>
      <c r="AG25" s="55"/>
      <c r="AH25" s="53">
        <f>SUM(E25:AF25)</f>
      </c>
      <c r="AI25" s="56"/>
      <c r="AJ25" s="57">
        <f>AH25/8</f>
      </c>
      <c r="AK25" s="58">
        <v>21</v>
      </c>
      <c r="AL25" s="59"/>
      <c r="AM25" s="60">
        <f>_xlfn.CONCAT(AJ25,"/",AK25)</f>
      </c>
      <c r="AN25" s="59"/>
      <c r="AO25" s="61">
        <f>AJ25/AK25*4500</f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</row>
    <row x14ac:dyDescent="0.25" r="26" customHeight="1" ht="16">
      <c r="A26" s="48" t="s">
        <v>67</v>
      </c>
      <c r="B26" s="48" t="s">
        <v>68</v>
      </c>
      <c r="C26" s="49" t="s">
        <v>59</v>
      </c>
      <c r="D26" s="50"/>
      <c r="E26" s="84"/>
      <c r="F26" s="63"/>
      <c r="G26" s="63"/>
      <c r="H26" s="63"/>
      <c r="I26" s="63"/>
      <c r="J26" s="64">
        <v>8</v>
      </c>
      <c r="K26" s="54">
        <v>8</v>
      </c>
      <c r="L26" s="54">
        <v>8</v>
      </c>
      <c r="M26" s="52">
        <v>8</v>
      </c>
      <c r="N26" s="53">
        <v>8</v>
      </c>
      <c r="O26" s="53">
        <v>8</v>
      </c>
      <c r="P26" s="63"/>
      <c r="Q26" s="63"/>
      <c r="R26" s="54">
        <v>8</v>
      </c>
      <c r="S26" s="54">
        <v>8</v>
      </c>
      <c r="T26" s="52">
        <v>8</v>
      </c>
      <c r="U26" s="53">
        <v>8</v>
      </c>
      <c r="V26" s="53">
        <v>8</v>
      </c>
      <c r="W26" s="52">
        <v>8</v>
      </c>
      <c r="X26" s="63"/>
      <c r="Y26" s="63"/>
      <c r="Z26" s="54">
        <v>8</v>
      </c>
      <c r="AA26" s="53">
        <v>8</v>
      </c>
      <c r="AB26" s="82">
        <v>8</v>
      </c>
      <c r="AC26" s="82">
        <v>8</v>
      </c>
      <c r="AD26" s="52">
        <v>8</v>
      </c>
      <c r="AE26" s="53">
        <v>8</v>
      </c>
      <c r="AF26" s="63"/>
      <c r="AG26" s="55"/>
      <c r="AH26" s="53">
        <f>SUM(E26:AF26)</f>
      </c>
      <c r="AI26" s="56"/>
      <c r="AJ26" s="57">
        <f>AH26/8</f>
      </c>
      <c r="AK26" s="58">
        <v>21</v>
      </c>
      <c r="AL26" s="59"/>
      <c r="AM26" s="60">
        <f>_xlfn.CONCAT(AJ26,"/",AK26)</f>
      </c>
      <c r="AN26" s="59"/>
      <c r="AO26" s="61">
        <f>AJ26/AK26*4500</f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</row>
    <row x14ac:dyDescent="0.25" r="27" customHeight="1" ht="16">
      <c r="A27" s="48" t="s">
        <v>69</v>
      </c>
      <c r="B27" s="48" t="s">
        <v>70</v>
      </c>
      <c r="C27" s="49" t="s">
        <v>59</v>
      </c>
      <c r="D27" s="50"/>
      <c r="E27" s="51">
        <v>8</v>
      </c>
      <c r="F27" s="53">
        <v>8</v>
      </c>
      <c r="G27" s="53">
        <v>8</v>
      </c>
      <c r="H27" s="63"/>
      <c r="I27" s="63"/>
      <c r="J27" s="53">
        <v>8</v>
      </c>
      <c r="K27" s="54">
        <v>8</v>
      </c>
      <c r="L27" s="54">
        <v>8</v>
      </c>
      <c r="M27" s="52">
        <v>8</v>
      </c>
      <c r="N27" s="53">
        <v>8</v>
      </c>
      <c r="O27" s="53">
        <v>8</v>
      </c>
      <c r="P27" s="63"/>
      <c r="Q27" s="63"/>
      <c r="R27" s="54">
        <v>8</v>
      </c>
      <c r="S27" s="54">
        <v>8</v>
      </c>
      <c r="T27" s="52">
        <v>8</v>
      </c>
      <c r="U27" s="91" t="s">
        <v>64</v>
      </c>
      <c r="V27" s="91" t="s">
        <v>64</v>
      </c>
      <c r="W27" s="91" t="s">
        <v>64</v>
      </c>
      <c r="X27" s="63"/>
      <c r="Y27" s="63"/>
      <c r="Z27" s="54">
        <v>8</v>
      </c>
      <c r="AA27" s="53">
        <v>8</v>
      </c>
      <c r="AB27" s="62">
        <v>8</v>
      </c>
      <c r="AC27" s="62">
        <v>8</v>
      </c>
      <c r="AD27" s="62">
        <v>8</v>
      </c>
      <c r="AE27" s="91" t="s">
        <v>64</v>
      </c>
      <c r="AF27" s="63"/>
      <c r="AG27" s="55"/>
      <c r="AH27" s="53">
        <f>SUM(E27:AF27)</f>
      </c>
      <c r="AI27" s="56"/>
      <c r="AJ27" s="57">
        <f>AH27/8</f>
      </c>
      <c r="AK27" s="58">
        <v>21</v>
      </c>
      <c r="AL27" s="59"/>
      <c r="AM27" s="60">
        <f>_xlfn.CONCAT(AJ27,"/",AK27)</f>
      </c>
      <c r="AN27" s="59"/>
      <c r="AO27" s="61">
        <f>AJ27/AK27*4500</f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</row>
    <row x14ac:dyDescent="0.25" r="28" customHeight="1" ht="16">
      <c r="A28" s="92" t="s">
        <v>71</v>
      </c>
      <c r="B28" s="92" t="s">
        <v>72</v>
      </c>
      <c r="C28" s="93" t="s">
        <v>59</v>
      </c>
      <c r="D28" s="50"/>
      <c r="E28" s="94"/>
      <c r="F28" s="95"/>
      <c r="G28" s="95"/>
      <c r="H28" s="95"/>
      <c r="I28" s="95"/>
      <c r="J28" s="96">
        <v>8</v>
      </c>
      <c r="K28" s="97">
        <v>8</v>
      </c>
      <c r="L28" s="97">
        <v>8</v>
      </c>
      <c r="M28" s="98">
        <v>8</v>
      </c>
      <c r="N28" s="99">
        <v>8</v>
      </c>
      <c r="O28" s="99">
        <v>8</v>
      </c>
      <c r="P28" s="95"/>
      <c r="Q28" s="95"/>
      <c r="R28" s="97">
        <v>8</v>
      </c>
      <c r="S28" s="97">
        <v>8</v>
      </c>
      <c r="T28" s="98">
        <v>8</v>
      </c>
      <c r="U28" s="99">
        <v>8</v>
      </c>
      <c r="V28" s="99">
        <v>8</v>
      </c>
      <c r="W28" s="98">
        <v>8</v>
      </c>
      <c r="X28" s="95"/>
      <c r="Y28" s="95"/>
      <c r="Z28" s="97">
        <v>8</v>
      </c>
      <c r="AA28" s="98">
        <v>8</v>
      </c>
      <c r="AB28" s="100">
        <v>8</v>
      </c>
      <c r="AC28" s="100">
        <v>8</v>
      </c>
      <c r="AD28" s="98">
        <v>8</v>
      </c>
      <c r="AE28" s="99">
        <v>8</v>
      </c>
      <c r="AF28" s="95"/>
      <c r="AG28" s="55"/>
      <c r="AH28" s="99">
        <f>SUM(E28:AF28)</f>
      </c>
      <c r="AI28" s="56"/>
      <c r="AJ28" s="101">
        <f>AH28/8</f>
      </c>
      <c r="AK28" s="102">
        <v>21</v>
      </c>
      <c r="AL28" s="59"/>
      <c r="AM28" s="60">
        <f>_xlfn.CONCAT(AJ28,"/",AK28)</f>
      </c>
      <c r="AN28" s="59"/>
      <c r="AO28" s="61">
        <f>AJ28/AK28*4500</f>
      </c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</row>
    <row x14ac:dyDescent="0.25" r="29" customHeight="1" ht="16">
      <c r="A29" s="65" t="s">
        <v>73</v>
      </c>
      <c r="B29" s="65" t="s">
        <v>74</v>
      </c>
      <c r="C29" s="66" t="s">
        <v>59</v>
      </c>
      <c r="D29" s="50"/>
      <c r="E29" s="68">
        <v>8</v>
      </c>
      <c r="F29" s="70">
        <v>8</v>
      </c>
      <c r="G29" s="70">
        <v>8</v>
      </c>
      <c r="H29" s="85"/>
      <c r="I29" s="85"/>
      <c r="J29" s="70">
        <v>8</v>
      </c>
      <c r="K29" s="71">
        <v>8</v>
      </c>
      <c r="L29" s="71">
        <v>8</v>
      </c>
      <c r="M29" s="69">
        <v>8</v>
      </c>
      <c r="N29" s="70">
        <v>8</v>
      </c>
      <c r="O29" s="70">
        <v>8</v>
      </c>
      <c r="P29" s="85"/>
      <c r="Q29" s="85"/>
      <c r="R29" s="71">
        <v>8</v>
      </c>
      <c r="S29" s="71">
        <v>8</v>
      </c>
      <c r="T29" s="69">
        <v>8</v>
      </c>
      <c r="U29" s="70">
        <v>8</v>
      </c>
      <c r="V29" s="70">
        <v>8</v>
      </c>
      <c r="W29" s="69">
        <v>8</v>
      </c>
      <c r="X29" s="85"/>
      <c r="Y29" s="85"/>
      <c r="Z29" s="71">
        <v>8</v>
      </c>
      <c r="AA29" s="69">
        <v>8</v>
      </c>
      <c r="AB29" s="86">
        <v>8</v>
      </c>
      <c r="AC29" s="86">
        <v>8</v>
      </c>
      <c r="AD29" s="69">
        <v>8</v>
      </c>
      <c r="AE29" s="70">
        <v>8</v>
      </c>
      <c r="AF29" s="85"/>
      <c r="AG29" s="55"/>
      <c r="AH29" s="70">
        <f>SUM(E29:AF29)</f>
      </c>
      <c r="AI29" s="56"/>
      <c r="AJ29" s="72">
        <f>AH29/8</f>
      </c>
      <c r="AK29" s="73">
        <v>21</v>
      </c>
      <c r="AL29" s="59"/>
      <c r="AM29" s="74">
        <f>_xlfn.CONCAT(AJ29,"/",AK29)</f>
      </c>
      <c r="AN29" s="59"/>
      <c r="AO29" s="75">
        <f>AJ29/AK29*4500</f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</row>
    <row x14ac:dyDescent="0.25" r="30" customHeight="1" ht="16">
      <c r="A30" s="34" t="s">
        <v>75</v>
      </c>
      <c r="B30" s="34" t="s">
        <v>76</v>
      </c>
      <c r="C30" s="35" t="s">
        <v>59</v>
      </c>
      <c r="D30" s="50"/>
      <c r="E30" s="37">
        <v>8</v>
      </c>
      <c r="F30" s="77"/>
      <c r="G30" s="77"/>
      <c r="H30" s="39">
        <v>8</v>
      </c>
      <c r="I30" s="38">
        <v>8</v>
      </c>
      <c r="J30" s="38">
        <v>8</v>
      </c>
      <c r="K30" s="103" t="s">
        <v>64</v>
      </c>
      <c r="L30" s="40">
        <v>8</v>
      </c>
      <c r="M30" s="39">
        <v>8</v>
      </c>
      <c r="N30" s="104"/>
      <c r="O30" s="104"/>
      <c r="P30" s="38">
        <v>8</v>
      </c>
      <c r="Q30" s="38">
        <v>8</v>
      </c>
      <c r="R30" s="40">
        <v>8</v>
      </c>
      <c r="S30" s="40">
        <v>8</v>
      </c>
      <c r="T30" s="38">
        <v>8</v>
      </c>
      <c r="U30" s="39">
        <v>8</v>
      </c>
      <c r="V30" s="77"/>
      <c r="W30" s="77"/>
      <c r="X30" s="38">
        <v>8</v>
      </c>
      <c r="Y30" s="40">
        <v>8</v>
      </c>
      <c r="Z30" s="40">
        <v>8</v>
      </c>
      <c r="AA30" s="38">
        <v>8</v>
      </c>
      <c r="AB30" s="39">
        <v>8</v>
      </c>
      <c r="AC30" s="39">
        <v>8</v>
      </c>
      <c r="AD30" s="77"/>
      <c r="AE30" s="77"/>
      <c r="AF30" s="40">
        <v>8</v>
      </c>
      <c r="AG30" s="55"/>
      <c r="AH30" s="39">
        <f>SUM(E30:AF30)</f>
      </c>
      <c r="AI30" s="56"/>
      <c r="AJ30" s="79">
        <f>AH30/8</f>
      </c>
      <c r="AK30" s="80">
        <v>20</v>
      </c>
      <c r="AL30" s="59"/>
      <c r="AM30" s="46">
        <f>_xlfn.CONCAT(AJ30,"/",AK30)</f>
      </c>
      <c r="AN30" s="59"/>
      <c r="AO30" s="47">
        <f>AJ30/AK30*4500</f>
      </c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</row>
    <row x14ac:dyDescent="0.25" r="31" customHeight="1" ht="16">
      <c r="A31" s="48" t="s">
        <v>77</v>
      </c>
      <c r="B31" s="48" t="s">
        <v>78</v>
      </c>
      <c r="C31" s="49" t="s">
        <v>59</v>
      </c>
      <c r="D31" s="50"/>
      <c r="E31" s="51">
        <v>8</v>
      </c>
      <c r="F31" s="63"/>
      <c r="G31" s="63"/>
      <c r="H31" s="53">
        <v>8</v>
      </c>
      <c r="I31" s="53">
        <v>8</v>
      </c>
      <c r="J31" s="53">
        <v>8</v>
      </c>
      <c r="K31" s="54">
        <v>8</v>
      </c>
      <c r="L31" s="54">
        <v>8</v>
      </c>
      <c r="M31" s="53">
        <v>8</v>
      </c>
      <c r="N31" s="63"/>
      <c r="O31" s="63"/>
      <c r="P31" s="52">
        <v>8</v>
      </c>
      <c r="Q31" s="52">
        <v>8</v>
      </c>
      <c r="R31" s="54">
        <v>8</v>
      </c>
      <c r="S31" s="54">
        <v>8</v>
      </c>
      <c r="T31" s="52">
        <v>8</v>
      </c>
      <c r="U31" s="53">
        <v>8</v>
      </c>
      <c r="V31" s="63"/>
      <c r="W31" s="63"/>
      <c r="X31" s="52">
        <v>8</v>
      </c>
      <c r="Y31" s="54">
        <v>8</v>
      </c>
      <c r="Z31" s="54">
        <v>8</v>
      </c>
      <c r="AA31" s="52">
        <v>8</v>
      </c>
      <c r="AB31" s="53">
        <v>8</v>
      </c>
      <c r="AC31" s="53">
        <v>8</v>
      </c>
      <c r="AD31" s="63"/>
      <c r="AE31" s="63"/>
      <c r="AF31" s="54">
        <v>8</v>
      </c>
      <c r="AG31" s="55"/>
      <c r="AH31" s="53">
        <f>SUM(E31:AF31)</f>
      </c>
      <c r="AI31" s="56"/>
      <c r="AJ31" s="57">
        <f>AH31/8</f>
      </c>
      <c r="AK31" s="58">
        <v>20</v>
      </c>
      <c r="AL31" s="59"/>
      <c r="AM31" s="60">
        <f>_xlfn.CONCAT(AJ31,"/",AK31)</f>
      </c>
      <c r="AN31" s="59"/>
      <c r="AO31" s="61">
        <f>AJ31/AK31*4500</f>
      </c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</row>
    <row x14ac:dyDescent="0.25" r="32" customHeight="1" ht="16">
      <c r="A32" s="48" t="s">
        <v>79</v>
      </c>
      <c r="B32" s="48" t="s">
        <v>41</v>
      </c>
      <c r="C32" s="49" t="s">
        <v>59</v>
      </c>
      <c r="D32" s="50"/>
      <c r="E32" s="51"/>
      <c r="F32" s="63"/>
      <c r="G32" s="63"/>
      <c r="H32" s="63"/>
      <c r="I32" s="63"/>
      <c r="J32" s="53">
        <v>8</v>
      </c>
      <c r="K32" s="54">
        <v>8</v>
      </c>
      <c r="L32" s="54">
        <v>8</v>
      </c>
      <c r="M32" s="53">
        <v>8</v>
      </c>
      <c r="N32" s="63"/>
      <c r="O32" s="63"/>
      <c r="P32" s="52">
        <v>8</v>
      </c>
      <c r="Q32" s="52">
        <v>8</v>
      </c>
      <c r="R32" s="54">
        <v>8</v>
      </c>
      <c r="S32" s="54">
        <v>8</v>
      </c>
      <c r="T32" s="52">
        <v>8</v>
      </c>
      <c r="U32" s="53">
        <v>8</v>
      </c>
      <c r="V32" s="63"/>
      <c r="W32" s="63"/>
      <c r="X32" s="52">
        <v>8</v>
      </c>
      <c r="Y32" s="54">
        <v>8</v>
      </c>
      <c r="Z32" s="54">
        <v>8</v>
      </c>
      <c r="AA32" s="52">
        <v>8</v>
      </c>
      <c r="AB32" s="53">
        <v>8</v>
      </c>
      <c r="AC32" s="53">
        <v>8</v>
      </c>
      <c r="AD32" s="63"/>
      <c r="AE32" s="63"/>
      <c r="AF32" s="54">
        <v>8</v>
      </c>
      <c r="AG32" s="55"/>
      <c r="AH32" s="53">
        <f>SUM(E32:AF32)</f>
      </c>
      <c r="AI32" s="56"/>
      <c r="AJ32" s="57">
        <f>AH32/8</f>
      </c>
      <c r="AK32" s="58">
        <v>20</v>
      </c>
      <c r="AL32" s="59"/>
      <c r="AM32" s="60">
        <f>_xlfn.CONCAT(AJ32,"/",AK32)</f>
      </c>
      <c r="AN32" s="59"/>
      <c r="AO32" s="61">
        <f>AJ32/AK32*4500</f>
      </c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</row>
    <row x14ac:dyDescent="0.25" r="33" customHeight="1" ht="16">
      <c r="A33" s="48" t="s">
        <v>80</v>
      </c>
      <c r="B33" s="48" t="s">
        <v>81</v>
      </c>
      <c r="C33" s="49" t="s">
        <v>59</v>
      </c>
      <c r="D33" s="50"/>
      <c r="E33" s="51">
        <v>8</v>
      </c>
      <c r="F33" s="63"/>
      <c r="G33" s="63"/>
      <c r="H33" s="53">
        <v>8</v>
      </c>
      <c r="I33" s="53">
        <v>8</v>
      </c>
      <c r="J33" s="53">
        <v>8</v>
      </c>
      <c r="K33" s="54">
        <v>8</v>
      </c>
      <c r="L33" s="54">
        <v>8</v>
      </c>
      <c r="M33" s="105" t="s">
        <v>64</v>
      </c>
      <c r="N33" s="63"/>
      <c r="O33" s="106"/>
      <c r="P33" s="52">
        <v>8</v>
      </c>
      <c r="Q33" s="52">
        <v>8</v>
      </c>
      <c r="R33" s="54">
        <v>8</v>
      </c>
      <c r="S33" s="54">
        <v>8</v>
      </c>
      <c r="T33" s="52">
        <v>8</v>
      </c>
      <c r="U33" s="53">
        <v>8</v>
      </c>
      <c r="V33" s="63"/>
      <c r="W33" s="63"/>
      <c r="X33" s="52">
        <v>8</v>
      </c>
      <c r="Y33" s="54">
        <v>8</v>
      </c>
      <c r="Z33" s="54">
        <v>8</v>
      </c>
      <c r="AA33" s="52">
        <v>8</v>
      </c>
      <c r="AB33" s="53">
        <v>8</v>
      </c>
      <c r="AC33" s="53">
        <v>8</v>
      </c>
      <c r="AD33" s="63"/>
      <c r="AE33" s="63"/>
      <c r="AF33" s="54">
        <v>8</v>
      </c>
      <c r="AG33" s="55"/>
      <c r="AH33" s="53">
        <f>SUM(E33:AF33)</f>
      </c>
      <c r="AI33" s="56"/>
      <c r="AJ33" s="57">
        <f>AH33/8</f>
      </c>
      <c r="AK33" s="58">
        <v>20</v>
      </c>
      <c r="AL33" s="59"/>
      <c r="AM33" s="60">
        <f>_xlfn.CONCAT(AJ33,"/",AK33)</f>
      </c>
      <c r="AN33" s="59"/>
      <c r="AO33" s="61">
        <f>AJ33/AK33*4500</f>
      </c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</row>
    <row x14ac:dyDescent="0.25" r="34" customHeight="1" ht="16">
      <c r="A34" s="48" t="s">
        <v>82</v>
      </c>
      <c r="B34" s="48" t="s">
        <v>83</v>
      </c>
      <c r="C34" s="49" t="s">
        <v>59</v>
      </c>
      <c r="D34" s="50"/>
      <c r="E34" s="51">
        <v>8</v>
      </c>
      <c r="F34" s="63"/>
      <c r="G34" s="63"/>
      <c r="H34" s="53">
        <v>8</v>
      </c>
      <c r="I34" s="53">
        <v>8</v>
      </c>
      <c r="J34" s="53">
        <v>8</v>
      </c>
      <c r="K34" s="54">
        <v>8</v>
      </c>
      <c r="L34" s="54">
        <v>8</v>
      </c>
      <c r="M34" s="105" t="s">
        <v>64</v>
      </c>
      <c r="N34" s="63"/>
      <c r="O34" s="106"/>
      <c r="P34" s="52">
        <v>8</v>
      </c>
      <c r="Q34" s="52">
        <v>8</v>
      </c>
      <c r="R34" s="54">
        <v>8</v>
      </c>
      <c r="S34" s="54">
        <v>8</v>
      </c>
      <c r="T34" s="52">
        <v>8</v>
      </c>
      <c r="U34" s="53">
        <v>8</v>
      </c>
      <c r="V34" s="63"/>
      <c r="W34" s="63"/>
      <c r="X34" s="52">
        <v>8</v>
      </c>
      <c r="Y34" s="54">
        <v>8</v>
      </c>
      <c r="Z34" s="54">
        <v>8</v>
      </c>
      <c r="AA34" s="52">
        <v>8</v>
      </c>
      <c r="AB34" s="53">
        <v>8</v>
      </c>
      <c r="AC34" s="53">
        <v>8</v>
      </c>
      <c r="AD34" s="63"/>
      <c r="AE34" s="63"/>
      <c r="AF34" s="54">
        <v>8</v>
      </c>
      <c r="AG34" s="55"/>
      <c r="AH34" s="53">
        <f>SUM(E34:AF34)</f>
      </c>
      <c r="AI34" s="56"/>
      <c r="AJ34" s="57">
        <f>AH34/8</f>
      </c>
      <c r="AK34" s="58">
        <v>20</v>
      </c>
      <c r="AL34" s="59"/>
      <c r="AM34" s="60">
        <f>_xlfn.CONCAT(AJ34,"/",AK34)</f>
      </c>
      <c r="AN34" s="59"/>
      <c r="AO34" s="61">
        <f>AJ34/AK34*4500</f>
      </c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</row>
    <row x14ac:dyDescent="0.25" r="35" customHeight="1" ht="16">
      <c r="A35" s="48" t="s">
        <v>84</v>
      </c>
      <c r="B35" s="48" t="s">
        <v>85</v>
      </c>
      <c r="C35" s="49" t="s">
        <v>59</v>
      </c>
      <c r="D35" s="50"/>
      <c r="E35" s="84"/>
      <c r="F35" s="63"/>
      <c r="G35" s="63"/>
      <c r="H35" s="63"/>
      <c r="I35" s="53">
        <v>8</v>
      </c>
      <c r="J35" s="53">
        <v>8</v>
      </c>
      <c r="K35" s="54">
        <v>8</v>
      </c>
      <c r="L35" s="54">
        <v>8</v>
      </c>
      <c r="M35" s="53">
        <v>8</v>
      </c>
      <c r="N35" s="63"/>
      <c r="O35" s="106"/>
      <c r="P35" s="52">
        <v>8</v>
      </c>
      <c r="Q35" s="52">
        <v>8</v>
      </c>
      <c r="R35" s="54">
        <v>8</v>
      </c>
      <c r="S35" s="54">
        <v>8</v>
      </c>
      <c r="T35" s="52">
        <v>8</v>
      </c>
      <c r="U35" s="53">
        <v>8</v>
      </c>
      <c r="V35" s="63"/>
      <c r="W35" s="63"/>
      <c r="X35" s="52">
        <v>8</v>
      </c>
      <c r="Y35" s="54">
        <v>8</v>
      </c>
      <c r="Z35" s="54">
        <v>8</v>
      </c>
      <c r="AA35" s="52">
        <v>8</v>
      </c>
      <c r="AB35" s="53">
        <v>8</v>
      </c>
      <c r="AC35" s="53">
        <v>8</v>
      </c>
      <c r="AD35" s="63"/>
      <c r="AE35" s="63"/>
      <c r="AF35" s="54">
        <v>8</v>
      </c>
      <c r="AG35" s="55"/>
      <c r="AH35" s="53">
        <f>SUM(E35:AF35)</f>
      </c>
      <c r="AI35" s="56"/>
      <c r="AJ35" s="57">
        <f>AH35/8</f>
      </c>
      <c r="AK35" s="58">
        <v>20</v>
      </c>
      <c r="AL35" s="59"/>
      <c r="AM35" s="60">
        <f>_xlfn.CONCAT(AJ35,"/",AK35)</f>
      </c>
      <c r="AN35" s="59"/>
      <c r="AO35" s="61">
        <f>AJ35/AK35*4500</f>
      </c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</row>
    <row x14ac:dyDescent="0.25" r="36" customHeight="1" ht="16">
      <c r="A36" s="48" t="s">
        <v>86</v>
      </c>
      <c r="B36" s="48" t="s">
        <v>87</v>
      </c>
      <c r="C36" s="49" t="s">
        <v>59</v>
      </c>
      <c r="D36" s="50"/>
      <c r="E36" s="84"/>
      <c r="F36" s="53">
        <v>8</v>
      </c>
      <c r="G36" s="53">
        <v>8</v>
      </c>
      <c r="H36" s="53">
        <v>8</v>
      </c>
      <c r="I36" s="53">
        <v>8</v>
      </c>
      <c r="J36" s="53">
        <v>8</v>
      </c>
      <c r="K36" s="54">
        <v>8</v>
      </c>
      <c r="L36" s="54">
        <v>8</v>
      </c>
      <c r="M36" s="53">
        <v>8</v>
      </c>
      <c r="N36" s="63"/>
      <c r="O36" s="106"/>
      <c r="P36" s="62">
        <v>8</v>
      </c>
      <c r="Q36" s="52">
        <v>8</v>
      </c>
      <c r="R36" s="54">
        <v>8</v>
      </c>
      <c r="S36" s="54">
        <v>8</v>
      </c>
      <c r="T36" s="52">
        <v>8</v>
      </c>
      <c r="U36" s="53">
        <v>8</v>
      </c>
      <c r="V36" s="63"/>
      <c r="W36" s="63"/>
      <c r="X36" s="52">
        <v>8</v>
      </c>
      <c r="Y36" s="54">
        <v>8</v>
      </c>
      <c r="Z36" s="54">
        <v>8</v>
      </c>
      <c r="AA36" s="52">
        <v>8</v>
      </c>
      <c r="AB36" s="53">
        <v>8</v>
      </c>
      <c r="AC36" s="53">
        <v>8</v>
      </c>
      <c r="AD36" s="63"/>
      <c r="AE36" s="63"/>
      <c r="AF36" s="54">
        <v>8</v>
      </c>
      <c r="AG36" s="55"/>
      <c r="AH36" s="53">
        <f>SUM(E36:AF36)</f>
      </c>
      <c r="AI36" s="56"/>
      <c r="AJ36" s="57">
        <f>AH36/8</f>
      </c>
      <c r="AK36" s="58">
        <v>20</v>
      </c>
      <c r="AL36" s="59"/>
      <c r="AM36" s="60">
        <f>_xlfn.CONCAT(AJ36,"/",AK36)</f>
      </c>
      <c r="AN36" s="59"/>
      <c r="AO36" s="61">
        <v>4500</v>
      </c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</row>
    <row x14ac:dyDescent="0.25" r="37" customHeight="1" ht="16">
      <c r="A37" s="92" t="s">
        <v>88</v>
      </c>
      <c r="B37" s="92" t="s">
        <v>66</v>
      </c>
      <c r="C37" s="93" t="s">
        <v>59</v>
      </c>
      <c r="D37" s="50"/>
      <c r="E37" s="107" t="s">
        <v>64</v>
      </c>
      <c r="F37" s="95"/>
      <c r="G37" s="95"/>
      <c r="H37" s="99">
        <v>8</v>
      </c>
      <c r="I37" s="99">
        <v>8</v>
      </c>
      <c r="J37" s="95"/>
      <c r="K37" s="95"/>
      <c r="L37" s="95"/>
      <c r="M37" s="108"/>
      <c r="N37" s="95"/>
      <c r="O37" s="109"/>
      <c r="P37" s="108"/>
      <c r="Q37" s="108"/>
      <c r="R37" s="95"/>
      <c r="S37" s="95"/>
      <c r="T37" s="108"/>
      <c r="U37" s="95"/>
      <c r="V37" s="95"/>
      <c r="W37" s="95"/>
      <c r="X37" s="95"/>
      <c r="Y37" s="95"/>
      <c r="Z37" s="95"/>
      <c r="AA37" s="110"/>
      <c r="AB37" s="111"/>
      <c r="AC37" s="110"/>
      <c r="AD37" s="95"/>
      <c r="AE37" s="112"/>
      <c r="AF37" s="112"/>
      <c r="AG37" s="55"/>
      <c r="AH37" s="99">
        <f>SUM(E37:AF37)</f>
      </c>
      <c r="AI37" s="56"/>
      <c r="AJ37" s="101">
        <f>AH37/8</f>
      </c>
      <c r="AK37" s="102">
        <v>20</v>
      </c>
      <c r="AL37" s="59"/>
      <c r="AM37" s="60">
        <f>_xlfn.CONCAT(AJ37,"/",AK37)</f>
      </c>
      <c r="AN37" s="59"/>
      <c r="AO37" s="61">
        <f>AJ37/AK37*4500</f>
      </c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</row>
    <row x14ac:dyDescent="0.25" r="38" customHeight="1" ht="16">
      <c r="A38" s="65" t="s">
        <v>89</v>
      </c>
      <c r="B38" s="65" t="s">
        <v>90</v>
      </c>
      <c r="C38" s="66" t="s">
        <v>59</v>
      </c>
      <c r="D38" s="50"/>
      <c r="E38" s="68">
        <v>8</v>
      </c>
      <c r="F38" s="85"/>
      <c r="G38" s="85"/>
      <c r="H38" s="70">
        <v>8</v>
      </c>
      <c r="I38" s="70">
        <v>8</v>
      </c>
      <c r="J38" s="69">
        <v>8</v>
      </c>
      <c r="K38" s="71">
        <v>8</v>
      </c>
      <c r="L38" s="71">
        <v>8</v>
      </c>
      <c r="M38" s="70">
        <v>8</v>
      </c>
      <c r="N38" s="85"/>
      <c r="O38" s="85"/>
      <c r="P38" s="69">
        <v>8</v>
      </c>
      <c r="Q38" s="105" t="s">
        <v>64</v>
      </c>
      <c r="R38" s="71">
        <v>8</v>
      </c>
      <c r="S38" s="71">
        <v>8</v>
      </c>
      <c r="T38" s="69">
        <v>8</v>
      </c>
      <c r="U38" s="70">
        <v>8</v>
      </c>
      <c r="V38" s="85"/>
      <c r="W38" s="85"/>
      <c r="X38" s="69">
        <v>8</v>
      </c>
      <c r="Y38" s="71">
        <v>8</v>
      </c>
      <c r="Z38" s="71">
        <v>8</v>
      </c>
      <c r="AA38" s="69">
        <v>8</v>
      </c>
      <c r="AB38" s="70">
        <v>8</v>
      </c>
      <c r="AC38" s="70">
        <v>8</v>
      </c>
      <c r="AD38" s="85"/>
      <c r="AE38" s="85"/>
      <c r="AF38" s="71">
        <v>8</v>
      </c>
      <c r="AG38" s="55"/>
      <c r="AH38" s="70">
        <f>SUM(E38:AF38)</f>
      </c>
      <c r="AI38" s="56"/>
      <c r="AJ38" s="72">
        <f>AH38/8</f>
      </c>
      <c r="AK38" s="73">
        <v>20</v>
      </c>
      <c r="AL38" s="59"/>
      <c r="AM38" s="113">
        <f>_xlfn.CONCAT(AJ38,"/",AK38)</f>
      </c>
      <c r="AN38" s="59"/>
      <c r="AO38" s="114">
        <f>AJ38/AK38*4500</f>
      </c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</row>
    <row x14ac:dyDescent="0.25" r="39" customHeight="1" ht="16">
      <c r="A39" s="34" t="s">
        <v>91</v>
      </c>
      <c r="B39" s="34" t="s">
        <v>92</v>
      </c>
      <c r="C39" s="35" t="s">
        <v>59</v>
      </c>
      <c r="D39" s="50"/>
      <c r="E39" s="115"/>
      <c r="F39" s="38">
        <v>8</v>
      </c>
      <c r="G39" s="39">
        <v>8</v>
      </c>
      <c r="H39" s="39">
        <v>8</v>
      </c>
      <c r="I39" s="39">
        <v>8</v>
      </c>
      <c r="J39" s="38">
        <v>8</v>
      </c>
      <c r="K39" s="40">
        <v>8</v>
      </c>
      <c r="L39" s="77"/>
      <c r="M39" s="77"/>
      <c r="N39" s="39">
        <v>8</v>
      </c>
      <c r="O39" s="39">
        <v>8</v>
      </c>
      <c r="P39" s="38">
        <v>8</v>
      </c>
      <c r="Q39" s="38">
        <v>8</v>
      </c>
      <c r="R39" s="40">
        <v>8</v>
      </c>
      <c r="S39" s="40">
        <v>8</v>
      </c>
      <c r="T39" s="77"/>
      <c r="U39" s="77"/>
      <c r="V39" s="39">
        <v>8</v>
      </c>
      <c r="W39" s="38">
        <v>8</v>
      </c>
      <c r="X39" s="38">
        <v>8</v>
      </c>
      <c r="Y39" s="40">
        <v>8</v>
      </c>
      <c r="Z39" s="40">
        <v>8</v>
      </c>
      <c r="AA39" s="39">
        <v>8</v>
      </c>
      <c r="AB39" s="104"/>
      <c r="AC39" s="104"/>
      <c r="AD39" s="39">
        <v>8</v>
      </c>
      <c r="AE39" s="39">
        <v>8</v>
      </c>
      <c r="AF39" s="40">
        <v>8</v>
      </c>
      <c r="AG39" s="55"/>
      <c r="AH39" s="39">
        <f>SUM(E39:AF39)</f>
      </c>
      <c r="AI39" s="56"/>
      <c r="AJ39" s="79">
        <f>AH39/8</f>
      </c>
      <c r="AK39" s="80">
        <v>21</v>
      </c>
      <c r="AL39" s="59"/>
      <c r="AM39" s="46">
        <f>_xlfn.CONCAT(AJ39,"/",AK39)</f>
      </c>
      <c r="AN39" s="59"/>
      <c r="AO39" s="47">
        <f>AJ39/AK39*4500</f>
      </c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</row>
    <row x14ac:dyDescent="0.25" r="40" customHeight="1" ht="16">
      <c r="A40" s="48" t="s">
        <v>93</v>
      </c>
      <c r="B40" s="48" t="s">
        <v>94</v>
      </c>
      <c r="C40" s="49" t="s">
        <v>59</v>
      </c>
      <c r="D40" s="50"/>
      <c r="E40" s="84"/>
      <c r="F40" s="116"/>
      <c r="G40" s="116"/>
      <c r="H40" s="116"/>
      <c r="I40" s="117"/>
      <c r="J40" s="52">
        <v>8</v>
      </c>
      <c r="K40" s="54">
        <v>8</v>
      </c>
      <c r="L40" s="63"/>
      <c r="M40" s="63"/>
      <c r="N40" s="53">
        <v>8</v>
      </c>
      <c r="O40" s="53">
        <v>8</v>
      </c>
      <c r="P40" s="52">
        <v>8</v>
      </c>
      <c r="Q40" s="52">
        <v>8</v>
      </c>
      <c r="R40" s="54">
        <v>8</v>
      </c>
      <c r="S40" s="54">
        <v>8</v>
      </c>
      <c r="T40" s="63"/>
      <c r="U40" s="63"/>
      <c r="V40" s="53">
        <v>8</v>
      </c>
      <c r="W40" s="52">
        <v>8</v>
      </c>
      <c r="X40" s="52">
        <v>8</v>
      </c>
      <c r="Y40" s="54">
        <v>8</v>
      </c>
      <c r="Z40" s="54">
        <v>8</v>
      </c>
      <c r="AA40" s="53">
        <v>8</v>
      </c>
      <c r="AB40" s="116"/>
      <c r="AC40" s="116"/>
      <c r="AD40" s="53">
        <v>8</v>
      </c>
      <c r="AE40" s="53">
        <v>8</v>
      </c>
      <c r="AF40" s="54">
        <v>8</v>
      </c>
      <c r="AG40" s="55"/>
      <c r="AH40" s="53">
        <f>SUM(E40:AF40)</f>
      </c>
      <c r="AI40" s="56"/>
      <c r="AJ40" s="57">
        <f>AH40/8</f>
      </c>
      <c r="AK40" s="58">
        <v>21</v>
      </c>
      <c r="AL40" s="59"/>
      <c r="AM40" s="60">
        <f>_xlfn.CONCAT(AJ40,"/",AK40)</f>
      </c>
      <c r="AN40" s="59"/>
      <c r="AO40" s="61">
        <f>AJ40/AK40*4500</f>
      </c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</row>
    <row x14ac:dyDescent="0.25" r="41" customHeight="1" ht="16">
      <c r="A41" s="48" t="s">
        <v>95</v>
      </c>
      <c r="B41" s="48" t="s">
        <v>85</v>
      </c>
      <c r="C41" s="49" t="s">
        <v>59</v>
      </c>
      <c r="D41" s="50"/>
      <c r="E41" s="84"/>
      <c r="F41" s="52">
        <v>8</v>
      </c>
      <c r="G41" s="53">
        <v>8</v>
      </c>
      <c r="H41" s="53">
        <v>8</v>
      </c>
      <c r="I41" s="53">
        <v>8</v>
      </c>
      <c r="J41" s="52">
        <v>8</v>
      </c>
      <c r="K41" s="54">
        <v>8</v>
      </c>
      <c r="L41" s="63"/>
      <c r="M41" s="63"/>
      <c r="N41" s="53">
        <v>8</v>
      </c>
      <c r="O41" s="53">
        <v>8</v>
      </c>
      <c r="P41" s="52">
        <v>8</v>
      </c>
      <c r="Q41" s="52">
        <v>8</v>
      </c>
      <c r="R41" s="54">
        <v>8</v>
      </c>
      <c r="S41" s="54">
        <v>8</v>
      </c>
      <c r="T41" s="63"/>
      <c r="U41" s="63"/>
      <c r="V41" s="53">
        <v>8</v>
      </c>
      <c r="W41" s="52">
        <v>8</v>
      </c>
      <c r="X41" s="52">
        <v>8</v>
      </c>
      <c r="Y41" s="54">
        <v>8</v>
      </c>
      <c r="Z41" s="54">
        <v>8</v>
      </c>
      <c r="AA41" s="53">
        <v>8</v>
      </c>
      <c r="AB41" s="116"/>
      <c r="AC41" s="116"/>
      <c r="AD41" s="53">
        <v>8</v>
      </c>
      <c r="AE41" s="53">
        <v>8</v>
      </c>
      <c r="AF41" s="54">
        <v>8</v>
      </c>
      <c r="AG41" s="55"/>
      <c r="AH41" s="53">
        <f>SUM(E41:AF41)</f>
      </c>
      <c r="AI41" s="56"/>
      <c r="AJ41" s="57">
        <f>AH41/8</f>
      </c>
      <c r="AK41" s="58">
        <v>21</v>
      </c>
      <c r="AL41" s="59"/>
      <c r="AM41" s="60">
        <f>_xlfn.CONCAT(AJ41,"/",AK41)</f>
      </c>
      <c r="AN41" s="59"/>
      <c r="AO41" s="61">
        <f>AJ41/AK41*4500</f>
      </c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</row>
    <row x14ac:dyDescent="0.25" r="42" customHeight="1" ht="16">
      <c r="A42" s="48" t="s">
        <v>96</v>
      </c>
      <c r="B42" s="48" t="s">
        <v>97</v>
      </c>
      <c r="C42" s="49" t="s">
        <v>59</v>
      </c>
      <c r="D42" s="50"/>
      <c r="E42" s="84"/>
      <c r="F42" s="52">
        <v>8</v>
      </c>
      <c r="G42" s="53">
        <v>8</v>
      </c>
      <c r="H42" s="53">
        <v>8</v>
      </c>
      <c r="I42" s="53">
        <v>8</v>
      </c>
      <c r="J42" s="52">
        <v>8</v>
      </c>
      <c r="K42" s="54">
        <v>8</v>
      </c>
      <c r="L42" s="63"/>
      <c r="M42" s="63"/>
      <c r="N42" s="118">
        <v>8</v>
      </c>
      <c r="O42" s="118">
        <v>8</v>
      </c>
      <c r="P42" s="119">
        <v>8</v>
      </c>
      <c r="Q42" s="105" t="s">
        <v>64</v>
      </c>
      <c r="R42" s="120">
        <v>8</v>
      </c>
      <c r="S42" s="90" t="s">
        <v>64</v>
      </c>
      <c r="T42" s="63"/>
      <c r="U42" s="63"/>
      <c r="V42" s="121" t="s">
        <v>98</v>
      </c>
      <c r="W42" s="121" t="s">
        <v>98</v>
      </c>
      <c r="X42" s="121"/>
      <c r="Y42" s="121"/>
      <c r="Z42" s="121"/>
      <c r="AA42" s="122"/>
      <c r="AB42" s="116"/>
      <c r="AC42" s="116"/>
      <c r="AD42" s="121"/>
      <c r="AE42" s="121"/>
      <c r="AF42" s="121"/>
      <c r="AG42" s="55"/>
      <c r="AH42" s="53">
        <f>SUM(E42:AF42)</f>
      </c>
      <c r="AI42" s="56"/>
      <c r="AJ42" s="57">
        <f>AH42/8</f>
      </c>
      <c r="AK42" s="58">
        <v>21</v>
      </c>
      <c r="AL42" s="59"/>
      <c r="AM42" s="60">
        <f>_xlfn.CONCAT(AJ42,"/",AK42)</f>
      </c>
      <c r="AN42" s="59"/>
      <c r="AO42" s="61">
        <f>AJ42/AK42*4500</f>
      </c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</row>
    <row x14ac:dyDescent="0.25" r="43" customHeight="1" ht="16">
      <c r="A43" s="48" t="s">
        <v>99</v>
      </c>
      <c r="B43" s="48" t="s">
        <v>100</v>
      </c>
      <c r="C43" s="49" t="s">
        <v>59</v>
      </c>
      <c r="D43" s="50"/>
      <c r="E43" s="84"/>
      <c r="F43" s="63"/>
      <c r="G43" s="63"/>
      <c r="H43" s="63"/>
      <c r="I43" s="63"/>
      <c r="J43" s="63"/>
      <c r="K43" s="54"/>
      <c r="L43" s="63"/>
      <c r="M43" s="63"/>
      <c r="N43" s="123"/>
      <c r="O43" s="63"/>
      <c r="P43" s="123"/>
      <c r="Q43" s="63"/>
      <c r="R43" s="123"/>
      <c r="S43" s="63"/>
      <c r="T43" s="63"/>
      <c r="U43" s="63"/>
      <c r="V43" s="63"/>
      <c r="W43" s="63"/>
      <c r="X43" s="63"/>
      <c r="Y43" s="63"/>
      <c r="Z43" s="63"/>
      <c r="AA43" s="63"/>
      <c r="AB43" s="116"/>
      <c r="AC43" s="116"/>
      <c r="AD43" s="53"/>
      <c r="AE43" s="53">
        <v>8</v>
      </c>
      <c r="AF43" s="54">
        <v>8</v>
      </c>
      <c r="AG43" s="55"/>
      <c r="AH43" s="53">
        <f>SUM(E43:AF43)</f>
      </c>
      <c r="AI43" s="56"/>
      <c r="AJ43" s="57">
        <f>AH43/8</f>
      </c>
      <c r="AK43" s="58">
        <v>21</v>
      </c>
      <c r="AL43" s="59"/>
      <c r="AM43" s="60">
        <f>_xlfn.CONCAT(AJ43,"/",AK43)</f>
      </c>
      <c r="AN43" s="59"/>
      <c r="AO43" s="61">
        <f>AJ43/AK43*4500</f>
      </c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</row>
    <row x14ac:dyDescent="0.25" r="44" customHeight="1" ht="16">
      <c r="A44" s="48" t="s">
        <v>101</v>
      </c>
      <c r="B44" s="48" t="s">
        <v>102</v>
      </c>
      <c r="C44" s="49" t="s">
        <v>59</v>
      </c>
      <c r="D44" s="50"/>
      <c r="E44" s="84"/>
      <c r="F44" s="116"/>
      <c r="G44" s="116"/>
      <c r="H44" s="116"/>
      <c r="I44" s="117"/>
      <c r="J44" s="52">
        <v>8</v>
      </c>
      <c r="K44" s="54">
        <v>8</v>
      </c>
      <c r="L44" s="63"/>
      <c r="M44" s="63"/>
      <c r="N44" s="118">
        <v>8</v>
      </c>
      <c r="O44" s="118">
        <v>8</v>
      </c>
      <c r="P44" s="119">
        <v>8</v>
      </c>
      <c r="Q44" s="52">
        <v>8</v>
      </c>
      <c r="R44" s="120">
        <v>8</v>
      </c>
      <c r="S44" s="54">
        <v>8</v>
      </c>
      <c r="T44" s="63"/>
      <c r="U44" s="63"/>
      <c r="V44" s="53">
        <v>8</v>
      </c>
      <c r="W44" s="52">
        <v>8</v>
      </c>
      <c r="X44" s="52">
        <v>8</v>
      </c>
      <c r="Y44" s="54">
        <v>8</v>
      </c>
      <c r="Z44" s="54">
        <v>8</v>
      </c>
      <c r="AA44" s="53">
        <v>8</v>
      </c>
      <c r="AB44" s="116"/>
      <c r="AC44" s="116"/>
      <c r="AD44" s="53">
        <v>8</v>
      </c>
      <c r="AE44" s="53">
        <v>8</v>
      </c>
      <c r="AF44" s="54">
        <v>8</v>
      </c>
      <c r="AG44" s="55"/>
      <c r="AH44" s="53">
        <f>SUM(E44:AF44)</f>
      </c>
      <c r="AI44" s="56"/>
      <c r="AJ44" s="57">
        <f>AH44/8</f>
      </c>
      <c r="AK44" s="58">
        <v>21</v>
      </c>
      <c r="AL44" s="59"/>
      <c r="AM44" s="60">
        <f>_xlfn.CONCAT(AJ44,"/",AK44)</f>
      </c>
      <c r="AN44" s="59"/>
      <c r="AO44" s="61">
        <f>AJ44/AK44*4500</f>
      </c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</row>
    <row x14ac:dyDescent="0.25" r="45" customHeight="1" ht="16">
      <c r="A45" s="48" t="s">
        <v>103</v>
      </c>
      <c r="B45" s="48" t="s">
        <v>104</v>
      </c>
      <c r="C45" s="49" t="s">
        <v>59</v>
      </c>
      <c r="D45" s="50"/>
      <c r="E45" s="84"/>
      <c r="F45" s="52">
        <v>8</v>
      </c>
      <c r="G45" s="53">
        <v>8</v>
      </c>
      <c r="H45" s="53">
        <v>8</v>
      </c>
      <c r="I45" s="53">
        <v>8</v>
      </c>
      <c r="J45" s="52">
        <v>8</v>
      </c>
      <c r="K45" s="54">
        <v>8</v>
      </c>
      <c r="L45" s="63"/>
      <c r="M45" s="63"/>
      <c r="N45" s="118">
        <v>8</v>
      </c>
      <c r="O45" s="118">
        <v>8</v>
      </c>
      <c r="P45" s="119">
        <v>8</v>
      </c>
      <c r="Q45" s="52">
        <v>8</v>
      </c>
      <c r="R45" s="63"/>
      <c r="S45" s="54">
        <v>8</v>
      </c>
      <c r="T45" s="63"/>
      <c r="U45" s="63"/>
      <c r="V45" s="53">
        <v>8</v>
      </c>
      <c r="W45" s="52">
        <v>8</v>
      </c>
      <c r="X45" s="52">
        <v>8</v>
      </c>
      <c r="Y45" s="54">
        <v>8</v>
      </c>
      <c r="Z45" s="54">
        <v>8</v>
      </c>
      <c r="AA45" s="53">
        <v>8</v>
      </c>
      <c r="AB45" s="116"/>
      <c r="AC45" s="116"/>
      <c r="AD45" s="53">
        <v>8</v>
      </c>
      <c r="AE45" s="53">
        <v>8</v>
      </c>
      <c r="AF45" s="54">
        <v>8</v>
      </c>
      <c r="AG45" s="55"/>
      <c r="AH45" s="53">
        <f>SUM(E45:AF45)</f>
      </c>
      <c r="AI45" s="56"/>
      <c r="AJ45" s="57">
        <f>AH45/8</f>
      </c>
      <c r="AK45" s="58">
        <v>21</v>
      </c>
      <c r="AL45" s="59"/>
      <c r="AM45" s="60">
        <f>_xlfn.CONCAT(AJ45,"/",AK45)</f>
      </c>
      <c r="AN45" s="59"/>
      <c r="AO45" s="61">
        <f>AJ45/AK45*4500</f>
      </c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</row>
    <row x14ac:dyDescent="0.25" r="46" customHeight="1" ht="16">
      <c r="A46" s="92" t="s">
        <v>105</v>
      </c>
      <c r="B46" s="92" t="s">
        <v>106</v>
      </c>
      <c r="C46" s="93" t="s">
        <v>59</v>
      </c>
      <c r="D46" s="50"/>
      <c r="E46" s="94"/>
      <c r="F46" s="99">
        <v>8</v>
      </c>
      <c r="G46" s="99">
        <v>8</v>
      </c>
      <c r="H46" s="99">
        <v>8</v>
      </c>
      <c r="I46" s="99">
        <v>8</v>
      </c>
      <c r="J46" s="99">
        <v>8</v>
      </c>
      <c r="K46" s="97">
        <v>8</v>
      </c>
      <c r="L46" s="95"/>
      <c r="M46" s="95"/>
      <c r="N46" s="124">
        <v>8</v>
      </c>
      <c r="O46" s="124">
        <v>8</v>
      </c>
      <c r="P46" s="125">
        <v>8</v>
      </c>
      <c r="Q46" s="98">
        <v>8</v>
      </c>
      <c r="R46" s="97">
        <v>8</v>
      </c>
      <c r="S46" s="97">
        <v>8</v>
      </c>
      <c r="T46" s="95"/>
      <c r="U46" s="95"/>
      <c r="V46" s="126" t="s">
        <v>98</v>
      </c>
      <c r="W46" s="99" t="s">
        <v>107</v>
      </c>
      <c r="X46" s="99"/>
      <c r="Y46" s="97"/>
      <c r="Z46" s="97"/>
      <c r="AA46" s="99"/>
      <c r="AB46" s="110"/>
      <c r="AC46" s="110"/>
      <c r="AD46" s="99"/>
      <c r="AE46" s="99"/>
      <c r="AF46" s="95"/>
      <c r="AG46" s="55"/>
      <c r="AH46" s="99">
        <f>SUM(E46:AF46)</f>
      </c>
      <c r="AI46" s="56"/>
      <c r="AJ46" s="101">
        <f>AH46/8</f>
      </c>
      <c r="AK46" s="102">
        <v>21</v>
      </c>
      <c r="AL46" s="59"/>
      <c r="AM46" s="60">
        <f>_xlfn.CONCAT(AJ46,"/",AK46)</f>
      </c>
      <c r="AN46" s="59"/>
      <c r="AO46" s="61">
        <f>AJ46/AK46*4500</f>
      </c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</row>
    <row x14ac:dyDescent="0.25" r="47" customHeight="1" ht="16">
      <c r="A47" s="65" t="s">
        <v>108</v>
      </c>
      <c r="B47" s="65" t="s">
        <v>109</v>
      </c>
      <c r="C47" s="66" t="s">
        <v>59</v>
      </c>
      <c r="D47" s="50"/>
      <c r="E47" s="127"/>
      <c r="F47" s="70">
        <v>8</v>
      </c>
      <c r="G47" s="70">
        <v>8</v>
      </c>
      <c r="H47" s="70">
        <v>8</v>
      </c>
      <c r="I47" s="70">
        <v>8</v>
      </c>
      <c r="J47" s="70">
        <v>8</v>
      </c>
      <c r="K47" s="71">
        <v>8</v>
      </c>
      <c r="L47" s="85"/>
      <c r="M47" s="85"/>
      <c r="N47" s="128">
        <v>8</v>
      </c>
      <c r="O47" s="128">
        <v>8</v>
      </c>
      <c r="P47" s="129">
        <v>8</v>
      </c>
      <c r="Q47" s="69">
        <v>8</v>
      </c>
      <c r="R47" s="71">
        <v>8</v>
      </c>
      <c r="S47" s="71">
        <v>8</v>
      </c>
      <c r="T47" s="85"/>
      <c r="U47" s="85"/>
      <c r="V47" s="70">
        <v>8</v>
      </c>
      <c r="W47" s="69">
        <v>8</v>
      </c>
      <c r="X47" s="69">
        <v>8</v>
      </c>
      <c r="Y47" s="71">
        <v>8</v>
      </c>
      <c r="Z47" s="71">
        <v>8</v>
      </c>
      <c r="AA47" s="70">
        <v>8</v>
      </c>
      <c r="AB47" s="130"/>
      <c r="AC47" s="130"/>
      <c r="AD47" s="70">
        <v>8</v>
      </c>
      <c r="AE47" s="70">
        <v>8</v>
      </c>
      <c r="AF47" s="71">
        <v>8</v>
      </c>
      <c r="AG47" s="55"/>
      <c r="AH47" s="70">
        <f>SUM(E47:AF47)</f>
      </c>
      <c r="AI47" s="56"/>
      <c r="AJ47" s="72">
        <f>AH47/8</f>
      </c>
      <c r="AK47" s="73">
        <v>21</v>
      </c>
      <c r="AL47" s="59"/>
      <c r="AM47" s="74">
        <f>_xlfn.CONCAT(AJ47,"/",AK47)</f>
      </c>
      <c r="AN47" s="59"/>
      <c r="AO47" s="75">
        <f>AJ47/AK47*4500</f>
      </c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</row>
    <row x14ac:dyDescent="0.25" r="48" customHeight="1" ht="16">
      <c r="A48" s="34" t="s">
        <v>110</v>
      </c>
      <c r="B48" s="34" t="s">
        <v>111</v>
      </c>
      <c r="C48" s="35" t="s">
        <v>59</v>
      </c>
      <c r="D48" s="50"/>
      <c r="E48" s="13">
        <v>8</v>
      </c>
      <c r="F48" s="14">
        <v>8</v>
      </c>
      <c r="G48" s="131">
        <v>8</v>
      </c>
      <c r="H48" s="131">
        <v>8</v>
      </c>
      <c r="I48" s="131">
        <v>8</v>
      </c>
      <c r="J48" s="132"/>
      <c r="K48" s="132"/>
      <c r="L48" s="15">
        <v>8</v>
      </c>
      <c r="M48" s="14">
        <v>8</v>
      </c>
      <c r="N48" s="133">
        <v>8</v>
      </c>
      <c r="O48" s="133">
        <v>8</v>
      </c>
      <c r="P48" s="134">
        <v>8</v>
      </c>
      <c r="Q48" s="132"/>
      <c r="R48" s="15">
        <v>8</v>
      </c>
      <c r="S48" s="132"/>
      <c r="T48" s="14">
        <v>8</v>
      </c>
      <c r="U48" s="131">
        <v>8</v>
      </c>
      <c r="V48" s="131">
        <v>8</v>
      </c>
      <c r="W48" s="14">
        <v>8</v>
      </c>
      <c r="X48" s="14">
        <v>8</v>
      </c>
      <c r="Y48" s="15">
        <v>8</v>
      </c>
      <c r="Z48" s="132"/>
      <c r="AA48" s="135"/>
      <c r="AB48" s="131">
        <v>8</v>
      </c>
      <c r="AC48" s="131">
        <v>8</v>
      </c>
      <c r="AD48" s="131">
        <v>8</v>
      </c>
      <c r="AE48" s="131">
        <v>8</v>
      </c>
      <c r="AF48" s="136">
        <v>8</v>
      </c>
      <c r="AG48" s="137"/>
      <c r="AH48" s="39">
        <f>SUM(E48:AF48)</f>
      </c>
      <c r="AI48" s="56"/>
      <c r="AJ48" s="79">
        <f>AH48/8</f>
      </c>
      <c r="AK48" s="80">
        <v>22</v>
      </c>
      <c r="AL48" s="59"/>
      <c r="AM48" s="138">
        <f>_xlfn.CONCAT(AJ48,"/",AK48)</f>
      </c>
      <c r="AN48" s="59"/>
      <c r="AO48" s="83">
        <f>AJ48/AK48*4500</f>
      </c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</row>
    <row x14ac:dyDescent="0.25" r="49" customHeight="1" ht="16">
      <c r="A49" s="48" t="s">
        <v>112</v>
      </c>
      <c r="B49" s="48" t="s">
        <v>113</v>
      </c>
      <c r="C49" s="49" t="s">
        <v>59</v>
      </c>
      <c r="D49" s="50"/>
      <c r="E49" s="139"/>
      <c r="F49" s="116"/>
      <c r="G49" s="63"/>
      <c r="H49" s="116"/>
      <c r="I49" s="53">
        <v>8</v>
      </c>
      <c r="J49" s="63"/>
      <c r="K49" s="63"/>
      <c r="L49" s="54">
        <v>8</v>
      </c>
      <c r="M49" s="52">
        <v>8</v>
      </c>
      <c r="N49" s="53">
        <v>8</v>
      </c>
      <c r="O49" s="53">
        <v>8</v>
      </c>
      <c r="P49" s="52">
        <v>8</v>
      </c>
      <c r="Q49" s="53">
        <v>8</v>
      </c>
      <c r="R49" s="63"/>
      <c r="S49" s="63"/>
      <c r="T49" s="52">
        <v>8</v>
      </c>
      <c r="U49" s="53">
        <v>8</v>
      </c>
      <c r="V49" s="53">
        <v>8</v>
      </c>
      <c r="W49" s="52">
        <v>8</v>
      </c>
      <c r="X49" s="52">
        <v>8</v>
      </c>
      <c r="Y49" s="54">
        <v>8</v>
      </c>
      <c r="Z49" s="63"/>
      <c r="AA49" s="116"/>
      <c r="AB49" s="53">
        <v>8</v>
      </c>
      <c r="AC49" s="53">
        <v>8</v>
      </c>
      <c r="AD49" s="53">
        <v>8</v>
      </c>
      <c r="AE49" s="53">
        <v>8</v>
      </c>
      <c r="AF49" s="140">
        <v>8</v>
      </c>
      <c r="AG49" s="137"/>
      <c r="AH49" s="53">
        <f>SUM(E49:AF49)</f>
      </c>
      <c r="AI49" s="56"/>
      <c r="AJ49" s="57">
        <f>AH49/8</f>
      </c>
      <c r="AK49" s="58">
        <v>22</v>
      </c>
      <c r="AL49" s="59"/>
      <c r="AM49" s="60">
        <f>_xlfn.CONCAT(AJ49,"/",AK49)</f>
      </c>
      <c r="AN49" s="59"/>
      <c r="AO49" s="61">
        <f>AJ49/AK49*4500</f>
      </c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</row>
    <row x14ac:dyDescent="0.25" r="50" customHeight="1" ht="16">
      <c r="A50" s="48" t="s">
        <v>114</v>
      </c>
      <c r="B50" s="48" t="s">
        <v>102</v>
      </c>
      <c r="C50" s="49" t="s">
        <v>59</v>
      </c>
      <c r="D50" s="50"/>
      <c r="E50" s="139"/>
      <c r="F50" s="116"/>
      <c r="G50" s="63"/>
      <c r="H50" s="116"/>
      <c r="I50" s="53">
        <v>8</v>
      </c>
      <c r="J50" s="63"/>
      <c r="K50" s="63"/>
      <c r="L50" s="54">
        <v>8</v>
      </c>
      <c r="M50" s="53">
        <v>8</v>
      </c>
      <c r="N50" s="53">
        <v>8</v>
      </c>
      <c r="O50" s="53">
        <v>8</v>
      </c>
      <c r="P50" s="52">
        <v>8</v>
      </c>
      <c r="Q50" s="53">
        <v>8</v>
      </c>
      <c r="R50" s="63"/>
      <c r="S50" s="63"/>
      <c r="T50" s="52">
        <v>8</v>
      </c>
      <c r="U50" s="53">
        <v>8</v>
      </c>
      <c r="V50" s="53">
        <v>8</v>
      </c>
      <c r="W50" s="52">
        <v>8</v>
      </c>
      <c r="X50" s="52">
        <v>8</v>
      </c>
      <c r="Y50" s="54">
        <v>8</v>
      </c>
      <c r="Z50" s="63"/>
      <c r="AA50" s="116"/>
      <c r="AB50" s="53">
        <v>8</v>
      </c>
      <c r="AC50" s="53">
        <v>8</v>
      </c>
      <c r="AD50" s="53">
        <v>8</v>
      </c>
      <c r="AE50" s="53">
        <v>8</v>
      </c>
      <c r="AF50" s="140">
        <v>8</v>
      </c>
      <c r="AG50" s="137"/>
      <c r="AH50" s="53">
        <f>SUM(E50:AF50)</f>
      </c>
      <c r="AI50" s="56"/>
      <c r="AJ50" s="57">
        <f>AH50/8</f>
      </c>
      <c r="AK50" s="58">
        <v>22</v>
      </c>
      <c r="AL50" s="59"/>
      <c r="AM50" s="60">
        <f>_xlfn.CONCAT(AJ50,"/",AK50)</f>
      </c>
      <c r="AN50" s="59"/>
      <c r="AO50" s="61">
        <f>AJ50/AK50*4500</f>
      </c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</row>
    <row x14ac:dyDescent="0.25" r="51" customHeight="1" ht="16">
      <c r="A51" s="48" t="s">
        <v>115</v>
      </c>
      <c r="B51" s="48" t="s">
        <v>116</v>
      </c>
      <c r="C51" s="49" t="s">
        <v>59</v>
      </c>
      <c r="D51" s="50"/>
      <c r="E51" s="141">
        <v>8</v>
      </c>
      <c r="F51" s="52">
        <v>8</v>
      </c>
      <c r="G51" s="53">
        <v>8</v>
      </c>
      <c r="H51" s="53">
        <v>8</v>
      </c>
      <c r="I51" s="53">
        <v>8</v>
      </c>
      <c r="J51" s="63"/>
      <c r="K51" s="63"/>
      <c r="L51" s="54">
        <v>8</v>
      </c>
      <c r="M51" s="52">
        <v>8</v>
      </c>
      <c r="N51" s="53">
        <v>8</v>
      </c>
      <c r="O51" s="53">
        <v>8</v>
      </c>
      <c r="P51" s="52">
        <v>8</v>
      </c>
      <c r="Q51" s="53">
        <v>8</v>
      </c>
      <c r="R51" s="63"/>
      <c r="S51" s="63"/>
      <c r="T51" s="52">
        <v>8</v>
      </c>
      <c r="U51" s="53">
        <v>8</v>
      </c>
      <c r="V51" s="53">
        <v>8</v>
      </c>
      <c r="W51" s="52">
        <v>8</v>
      </c>
      <c r="X51" s="52">
        <v>8</v>
      </c>
      <c r="Y51" s="54">
        <v>8</v>
      </c>
      <c r="Z51" s="63"/>
      <c r="AA51" s="116"/>
      <c r="AB51" s="53">
        <v>8</v>
      </c>
      <c r="AC51" s="53">
        <v>8</v>
      </c>
      <c r="AD51" s="53">
        <v>8</v>
      </c>
      <c r="AE51" s="53">
        <v>8</v>
      </c>
      <c r="AF51" s="140">
        <v>8</v>
      </c>
      <c r="AG51" s="137"/>
      <c r="AH51" s="53">
        <f>SUM(E51:AF51)</f>
      </c>
      <c r="AI51" s="56"/>
      <c r="AJ51" s="57">
        <f>AH51/8</f>
      </c>
      <c r="AK51" s="58">
        <v>22</v>
      </c>
      <c r="AL51" s="59"/>
      <c r="AM51" s="60">
        <f>_xlfn.CONCAT(AJ51,"/",AK51)</f>
      </c>
      <c r="AN51" s="59"/>
      <c r="AO51" s="61">
        <f>AJ51/AK51*4500</f>
      </c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</row>
    <row x14ac:dyDescent="0.25" r="52" customHeight="1" ht="16">
      <c r="A52" s="48" t="s">
        <v>117</v>
      </c>
      <c r="B52" s="48" t="s">
        <v>118</v>
      </c>
      <c r="C52" s="49" t="s">
        <v>59</v>
      </c>
      <c r="D52" s="50"/>
      <c r="E52" s="139"/>
      <c r="F52" s="116"/>
      <c r="G52" s="63"/>
      <c r="H52" s="116"/>
      <c r="I52" s="53">
        <v>8</v>
      </c>
      <c r="J52" s="63"/>
      <c r="K52" s="63"/>
      <c r="L52" s="54">
        <v>8</v>
      </c>
      <c r="M52" s="52">
        <v>8</v>
      </c>
      <c r="N52" s="53">
        <v>8</v>
      </c>
      <c r="O52" s="53">
        <v>8</v>
      </c>
      <c r="P52" s="52">
        <v>8</v>
      </c>
      <c r="Q52" s="53">
        <v>8</v>
      </c>
      <c r="R52" s="63"/>
      <c r="S52" s="63"/>
      <c r="T52" s="52">
        <v>8</v>
      </c>
      <c r="U52" s="53">
        <v>8</v>
      </c>
      <c r="V52" s="53">
        <v>8</v>
      </c>
      <c r="W52" s="52">
        <v>8</v>
      </c>
      <c r="X52" s="52">
        <v>8</v>
      </c>
      <c r="Y52" s="54">
        <v>8</v>
      </c>
      <c r="Z52" s="63"/>
      <c r="AA52" s="116"/>
      <c r="AB52" s="53">
        <v>8</v>
      </c>
      <c r="AC52" s="53">
        <v>8</v>
      </c>
      <c r="AD52" s="53">
        <v>8</v>
      </c>
      <c r="AE52" s="53">
        <v>8</v>
      </c>
      <c r="AF52" s="140">
        <v>8</v>
      </c>
      <c r="AG52" s="137"/>
      <c r="AH52" s="53">
        <f>SUM(E52:AF52)</f>
      </c>
      <c r="AI52" s="56"/>
      <c r="AJ52" s="57">
        <f>AH52/8</f>
      </c>
      <c r="AK52" s="58">
        <v>22</v>
      </c>
      <c r="AL52" s="59"/>
      <c r="AM52" s="60">
        <f>_xlfn.CONCAT(AJ52,"/",AK52)</f>
      </c>
      <c r="AN52" s="59"/>
      <c r="AO52" s="61">
        <f>AJ52/AK52*4500</f>
      </c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</row>
    <row x14ac:dyDescent="0.25" r="53" customHeight="1" ht="16">
      <c r="A53" s="48" t="s">
        <v>119</v>
      </c>
      <c r="B53" s="48" t="s">
        <v>93</v>
      </c>
      <c r="C53" s="49" t="s">
        <v>59</v>
      </c>
      <c r="D53" s="50"/>
      <c r="E53" s="141">
        <v>8</v>
      </c>
      <c r="F53" s="53">
        <v>8</v>
      </c>
      <c r="G53" s="53">
        <v>8</v>
      </c>
      <c r="H53" s="53">
        <v>8</v>
      </c>
      <c r="I53" s="53">
        <v>8</v>
      </c>
      <c r="J53" s="63"/>
      <c r="K53" s="63"/>
      <c r="L53" s="54">
        <v>8</v>
      </c>
      <c r="M53" s="52">
        <v>8</v>
      </c>
      <c r="N53" s="53">
        <v>8</v>
      </c>
      <c r="O53" s="53">
        <v>8</v>
      </c>
      <c r="P53" s="52">
        <v>8</v>
      </c>
      <c r="Q53" s="53">
        <v>8</v>
      </c>
      <c r="R53" s="63"/>
      <c r="S53" s="63"/>
      <c r="T53" s="52">
        <v>8</v>
      </c>
      <c r="U53" s="53">
        <v>8</v>
      </c>
      <c r="V53" s="53">
        <v>8</v>
      </c>
      <c r="W53" s="52">
        <v>8</v>
      </c>
      <c r="X53" s="52">
        <v>8</v>
      </c>
      <c r="Y53" s="54">
        <v>8</v>
      </c>
      <c r="Z53" s="63"/>
      <c r="AA53" s="116"/>
      <c r="AB53" s="53">
        <v>8</v>
      </c>
      <c r="AC53" s="53">
        <v>8</v>
      </c>
      <c r="AD53" s="53">
        <v>8</v>
      </c>
      <c r="AE53" s="53">
        <v>8</v>
      </c>
      <c r="AF53" s="140">
        <v>8</v>
      </c>
      <c r="AG53" s="137"/>
      <c r="AH53" s="53">
        <f>SUM(E53:AF53)</f>
      </c>
      <c r="AI53" s="56"/>
      <c r="AJ53" s="57">
        <f>AH53/8</f>
      </c>
      <c r="AK53" s="58">
        <v>22</v>
      </c>
      <c r="AL53" s="59"/>
      <c r="AM53" s="60">
        <f>_xlfn.CONCAT(AJ53,"/",AK53)</f>
      </c>
      <c r="AN53" s="59"/>
      <c r="AO53" s="61">
        <f>AJ53/AK53*4500</f>
      </c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</row>
    <row x14ac:dyDescent="0.25" r="54" customHeight="1" ht="16">
      <c r="A54" s="48" t="s">
        <v>120</v>
      </c>
      <c r="B54" s="48" t="s">
        <v>121</v>
      </c>
      <c r="C54" s="49" t="s">
        <v>59</v>
      </c>
      <c r="D54" s="50"/>
      <c r="E54" s="141">
        <v>8</v>
      </c>
      <c r="F54" s="52">
        <v>8</v>
      </c>
      <c r="G54" s="53">
        <v>8</v>
      </c>
      <c r="H54" s="53">
        <v>8</v>
      </c>
      <c r="I54" s="53">
        <v>8</v>
      </c>
      <c r="J54" s="63"/>
      <c r="K54" s="63"/>
      <c r="L54" s="90" t="s">
        <v>122</v>
      </c>
      <c r="M54" s="52">
        <v>8</v>
      </c>
      <c r="N54" s="53">
        <v>8</v>
      </c>
      <c r="O54" s="53">
        <v>8</v>
      </c>
      <c r="P54" s="52">
        <v>8</v>
      </c>
      <c r="Q54" s="53">
        <v>8</v>
      </c>
      <c r="R54" s="63"/>
      <c r="S54" s="63"/>
      <c r="T54" s="52">
        <v>8</v>
      </c>
      <c r="U54" s="53">
        <v>8</v>
      </c>
      <c r="V54" s="53">
        <v>8</v>
      </c>
      <c r="W54" s="52">
        <v>8</v>
      </c>
      <c r="X54" s="52">
        <v>8</v>
      </c>
      <c r="Y54" s="54">
        <v>8</v>
      </c>
      <c r="Z54" s="63"/>
      <c r="AA54" s="116"/>
      <c r="AB54" s="53">
        <v>8</v>
      </c>
      <c r="AC54" s="53">
        <v>8</v>
      </c>
      <c r="AD54" s="53">
        <v>8</v>
      </c>
      <c r="AE54" s="53">
        <v>8</v>
      </c>
      <c r="AF54" s="140">
        <v>8</v>
      </c>
      <c r="AG54" s="137"/>
      <c r="AH54" s="53">
        <f>SUM(E54:AF54)</f>
      </c>
      <c r="AI54" s="56"/>
      <c r="AJ54" s="57">
        <f>AH54/8</f>
      </c>
      <c r="AK54" s="58">
        <v>22</v>
      </c>
      <c r="AL54" s="59"/>
      <c r="AM54" s="60">
        <f>_xlfn.CONCAT(AJ54,"/",AK54)</f>
      </c>
      <c r="AN54" s="59"/>
      <c r="AO54" s="61">
        <f>AJ54/AK54*4500</f>
      </c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</row>
    <row x14ac:dyDescent="0.25" r="55" customHeight="1" ht="16">
      <c r="A55" s="65" t="s">
        <v>123</v>
      </c>
      <c r="B55" s="65" t="s">
        <v>124</v>
      </c>
      <c r="C55" s="66" t="s">
        <v>59</v>
      </c>
      <c r="D55" s="67"/>
      <c r="E55" s="143">
        <v>8</v>
      </c>
      <c r="F55" s="70">
        <v>8</v>
      </c>
      <c r="G55" s="70">
        <v>8</v>
      </c>
      <c r="H55" s="70">
        <v>8</v>
      </c>
      <c r="I55" s="70">
        <v>8</v>
      </c>
      <c r="J55" s="85"/>
      <c r="K55" s="85"/>
      <c r="L55" s="71">
        <v>8</v>
      </c>
      <c r="M55" s="129">
        <v>8</v>
      </c>
      <c r="N55" s="70">
        <v>8</v>
      </c>
      <c r="O55" s="70">
        <v>8</v>
      </c>
      <c r="P55" s="69">
        <v>8</v>
      </c>
      <c r="Q55" s="70">
        <v>8</v>
      </c>
      <c r="R55" s="85"/>
      <c r="S55" s="85"/>
      <c r="T55" s="69">
        <v>8</v>
      </c>
      <c r="U55" s="70">
        <v>8</v>
      </c>
      <c r="V55" s="70">
        <v>8</v>
      </c>
      <c r="W55" s="69">
        <v>8</v>
      </c>
      <c r="X55" s="69">
        <v>8</v>
      </c>
      <c r="Y55" s="71">
        <v>8</v>
      </c>
      <c r="Z55" s="85"/>
      <c r="AA55" s="130"/>
      <c r="AB55" s="70">
        <v>8</v>
      </c>
      <c r="AC55" s="70">
        <v>8</v>
      </c>
      <c r="AD55" s="70">
        <v>8</v>
      </c>
      <c r="AE55" s="70">
        <v>8</v>
      </c>
      <c r="AF55" s="144">
        <v>8</v>
      </c>
      <c r="AG55" s="137"/>
      <c r="AH55" s="70">
        <f>SUM(E55:AF55)</f>
      </c>
      <c r="AI55" s="56"/>
      <c r="AJ55" s="72">
        <f>AH55/8</f>
      </c>
      <c r="AK55" s="73">
        <v>22</v>
      </c>
      <c r="AL55" s="59"/>
      <c r="AM55" s="113">
        <f>_xlfn.CONCAT(AJ55,"/",AK55)</f>
      </c>
      <c r="AN55" s="59"/>
      <c r="AO55" s="114">
        <f>AJ55/AK55*4500</f>
      </c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</row>
    <row x14ac:dyDescent="0.25" r="56" customHeight="1" ht="16">
      <c r="A56" s="34" t="s">
        <v>125</v>
      </c>
      <c r="B56" s="34" t="s">
        <v>102</v>
      </c>
      <c r="C56" s="35" t="s">
        <v>126</v>
      </c>
      <c r="D56" s="76">
        <v>4</v>
      </c>
      <c r="E56" s="145"/>
      <c r="F56" s="38">
        <v>8</v>
      </c>
      <c r="G56" s="39">
        <v>8</v>
      </c>
      <c r="H56" s="39">
        <v>8</v>
      </c>
      <c r="I56" s="39">
        <v>8</v>
      </c>
      <c r="J56" s="38"/>
      <c r="K56" s="77"/>
      <c r="L56" s="77"/>
      <c r="M56" s="38"/>
      <c r="N56" s="39">
        <v>8</v>
      </c>
      <c r="O56" s="39">
        <v>8</v>
      </c>
      <c r="P56" s="38">
        <v>8</v>
      </c>
      <c r="Q56" s="38">
        <v>8</v>
      </c>
      <c r="R56" s="77"/>
      <c r="S56" s="77"/>
      <c r="T56" s="38">
        <v>8</v>
      </c>
      <c r="U56" s="39">
        <v>8</v>
      </c>
      <c r="V56" s="39">
        <v>8</v>
      </c>
      <c r="W56" s="38">
        <v>8</v>
      </c>
      <c r="X56" s="38">
        <v>8</v>
      </c>
      <c r="Y56" s="40">
        <v>8</v>
      </c>
      <c r="Z56" s="77"/>
      <c r="AA56" s="38">
        <v>8</v>
      </c>
      <c r="AB56" s="39">
        <v>8</v>
      </c>
      <c r="AC56" s="39">
        <v>8</v>
      </c>
      <c r="AD56" s="39">
        <v>8</v>
      </c>
      <c r="AE56" s="77"/>
      <c r="AF56" s="146">
        <v>8</v>
      </c>
      <c r="AG56" s="137"/>
      <c r="AH56" s="39">
        <f>SUM(E56:AF56)</f>
      </c>
      <c r="AI56" s="56"/>
      <c r="AJ56" s="79">
        <f>AH56/8</f>
      </c>
      <c r="AK56" s="80">
        <v>20</v>
      </c>
      <c r="AL56" s="59"/>
      <c r="AM56" s="46">
        <f>_xlfn.CONCAT(AJ56,"/",AK56)</f>
      </c>
      <c r="AN56" s="59"/>
      <c r="AO56" s="47">
        <f>AJ56/AK56*4500</f>
      </c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</row>
    <row x14ac:dyDescent="0.25" r="57" customHeight="1" ht="16">
      <c r="A57" s="48" t="s">
        <v>127</v>
      </c>
      <c r="B57" s="48" t="s">
        <v>128</v>
      </c>
      <c r="C57" s="49" t="s">
        <v>126</v>
      </c>
      <c r="D57" s="50"/>
      <c r="E57" s="139"/>
      <c r="F57" s="53">
        <v>8</v>
      </c>
      <c r="G57" s="53">
        <v>8</v>
      </c>
      <c r="H57" s="53">
        <v>8</v>
      </c>
      <c r="I57" s="53">
        <v>8</v>
      </c>
      <c r="J57" s="53">
        <v>8</v>
      </c>
      <c r="K57" s="63"/>
      <c r="L57" s="106"/>
      <c r="M57" s="52">
        <v>8</v>
      </c>
      <c r="N57" s="53">
        <v>8</v>
      </c>
      <c r="O57" s="53">
        <v>8</v>
      </c>
      <c r="P57" s="52">
        <v>8</v>
      </c>
      <c r="Q57" s="52">
        <v>8</v>
      </c>
      <c r="R57" s="63"/>
      <c r="S57" s="63"/>
      <c r="T57" s="52">
        <v>8</v>
      </c>
      <c r="U57" s="53">
        <v>8</v>
      </c>
      <c r="V57" s="53">
        <v>8</v>
      </c>
      <c r="W57" s="52">
        <v>8</v>
      </c>
      <c r="X57" s="52">
        <v>8</v>
      </c>
      <c r="Y57" s="90" t="s">
        <v>64</v>
      </c>
      <c r="Z57" s="63"/>
      <c r="AA57" s="52">
        <v>8</v>
      </c>
      <c r="AB57" s="53">
        <v>8</v>
      </c>
      <c r="AC57" s="53">
        <v>8</v>
      </c>
      <c r="AD57" s="53">
        <v>8</v>
      </c>
      <c r="AE57" s="63"/>
      <c r="AF57" s="140">
        <v>8</v>
      </c>
      <c r="AG57" s="137"/>
      <c r="AH57" s="53">
        <f>SUM(E57:AF57)</f>
      </c>
      <c r="AI57" s="56"/>
      <c r="AJ57" s="57">
        <f>AH57/8</f>
      </c>
      <c r="AK57" s="58">
        <v>20</v>
      </c>
      <c r="AL57" s="59"/>
      <c r="AM57" s="60">
        <f>_xlfn.CONCAT(AJ57,"/",AK57)</f>
      </c>
      <c r="AN57" s="59"/>
      <c r="AO57" s="61">
        <f>AJ57/AK57*4500</f>
      </c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</row>
    <row x14ac:dyDescent="0.25" r="58" customHeight="1" ht="16">
      <c r="A58" s="48" t="s">
        <v>129</v>
      </c>
      <c r="B58" s="48" t="s">
        <v>113</v>
      </c>
      <c r="C58" s="49" t="s">
        <v>126</v>
      </c>
      <c r="D58" s="50"/>
      <c r="E58" s="139"/>
      <c r="F58" s="52">
        <v>8</v>
      </c>
      <c r="G58" s="53">
        <v>8</v>
      </c>
      <c r="H58" s="53">
        <v>8</v>
      </c>
      <c r="I58" s="53">
        <v>8</v>
      </c>
      <c r="J58" s="52">
        <v>8</v>
      </c>
      <c r="K58" s="63"/>
      <c r="L58" s="63"/>
      <c r="M58" s="52">
        <v>8</v>
      </c>
      <c r="N58" s="53">
        <v>8</v>
      </c>
      <c r="O58" s="53">
        <v>8</v>
      </c>
      <c r="P58" s="52">
        <v>8</v>
      </c>
      <c r="Q58" s="52">
        <v>8</v>
      </c>
      <c r="R58" s="63"/>
      <c r="S58" s="63"/>
      <c r="T58" s="52">
        <v>8</v>
      </c>
      <c r="U58" s="53">
        <v>8</v>
      </c>
      <c r="V58" s="53">
        <v>8</v>
      </c>
      <c r="W58" s="52">
        <v>8</v>
      </c>
      <c r="X58" s="52">
        <v>8</v>
      </c>
      <c r="Y58" s="63"/>
      <c r="Z58" s="63"/>
      <c r="AA58" s="52">
        <v>8</v>
      </c>
      <c r="AB58" s="53">
        <v>8</v>
      </c>
      <c r="AC58" s="53">
        <v>8</v>
      </c>
      <c r="AD58" s="53">
        <v>8</v>
      </c>
      <c r="AE58" s="63"/>
      <c r="AF58" s="140">
        <v>8</v>
      </c>
      <c r="AG58" s="137"/>
      <c r="AH58" s="53">
        <f>SUM(E58:AF58)</f>
      </c>
      <c r="AI58" s="56"/>
      <c r="AJ58" s="57">
        <f>AH58/8</f>
      </c>
      <c r="AK58" s="58">
        <v>20</v>
      </c>
      <c r="AL58" s="59"/>
      <c r="AM58" s="60">
        <f>_xlfn.CONCAT(AJ58,"/",AK58)</f>
      </c>
      <c r="AN58" s="59"/>
      <c r="AO58" s="61">
        <f>AJ58/AK58*4500</f>
      </c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</row>
    <row x14ac:dyDescent="0.25" r="59" customHeight="1" ht="16">
      <c r="A59" s="65" t="s">
        <v>130</v>
      </c>
      <c r="B59" s="147" t="s">
        <v>131</v>
      </c>
      <c r="C59" s="66" t="s">
        <v>132</v>
      </c>
      <c r="D59" s="67"/>
      <c r="E59" s="148"/>
      <c r="F59" s="69">
        <v>8</v>
      </c>
      <c r="G59" s="70">
        <v>8</v>
      </c>
      <c r="H59" s="70">
        <v>8</v>
      </c>
      <c r="I59" s="70">
        <v>8</v>
      </c>
      <c r="J59" s="69">
        <v>8</v>
      </c>
      <c r="K59" s="85"/>
      <c r="L59" s="85"/>
      <c r="M59" s="69">
        <v>8</v>
      </c>
      <c r="N59" s="70">
        <v>8</v>
      </c>
      <c r="O59" s="70">
        <v>8</v>
      </c>
      <c r="P59" s="69">
        <v>8</v>
      </c>
      <c r="Q59" s="69">
        <v>8</v>
      </c>
      <c r="R59" s="85"/>
      <c r="S59" s="85"/>
      <c r="T59" s="69">
        <v>8</v>
      </c>
      <c r="U59" s="70">
        <v>8</v>
      </c>
      <c r="V59" s="70">
        <v>8</v>
      </c>
      <c r="W59" s="69">
        <v>8</v>
      </c>
      <c r="X59" s="69">
        <v>8</v>
      </c>
      <c r="Y59" s="85"/>
      <c r="Z59" s="85"/>
      <c r="AA59" s="69">
        <v>8</v>
      </c>
      <c r="AB59" s="70">
        <v>8</v>
      </c>
      <c r="AC59" s="70">
        <v>8</v>
      </c>
      <c r="AD59" s="70">
        <v>8</v>
      </c>
      <c r="AE59" s="85"/>
      <c r="AF59" s="144">
        <v>8</v>
      </c>
      <c r="AG59" s="137"/>
      <c r="AH59" s="70">
        <f>SUM(E59:AF59)</f>
      </c>
      <c r="AI59" s="56"/>
      <c r="AJ59" s="72">
        <f>AH59/8</f>
      </c>
      <c r="AK59" s="73">
        <v>20</v>
      </c>
      <c r="AL59" s="59"/>
      <c r="AM59" s="74">
        <f>_xlfn.CONCAT(AJ59,"/",AK59)</f>
      </c>
      <c r="AN59" s="59"/>
      <c r="AO59" s="75">
        <f>AJ59/AK59*4500</f>
      </c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</row>
    <row x14ac:dyDescent="0.25" r="60" customHeight="1" ht="16">
      <c r="A60" s="149" t="s">
        <v>133</v>
      </c>
      <c r="B60" s="150" t="s">
        <v>134</v>
      </c>
      <c r="C60" s="151" t="s">
        <v>135</v>
      </c>
      <c r="D60" s="76">
        <v>4</v>
      </c>
      <c r="E60" s="15">
        <v>8</v>
      </c>
      <c r="F60" s="14">
        <v>8</v>
      </c>
      <c r="G60" s="14"/>
      <c r="H60" s="131">
        <v>8</v>
      </c>
      <c r="I60" s="14">
        <v>8</v>
      </c>
      <c r="J60" s="14">
        <v>8</v>
      </c>
      <c r="K60" s="15">
        <v>8</v>
      </c>
      <c r="L60" s="15">
        <v>8</v>
      </c>
      <c r="M60" s="14">
        <v>8</v>
      </c>
      <c r="N60" s="131">
        <v>8</v>
      </c>
      <c r="O60" s="131">
        <v>8</v>
      </c>
      <c r="P60" s="132"/>
      <c r="Q60" s="132"/>
      <c r="R60" s="15">
        <v>8</v>
      </c>
      <c r="S60" s="15">
        <v>8</v>
      </c>
      <c r="T60" s="14">
        <v>8</v>
      </c>
      <c r="U60" s="131">
        <v>8</v>
      </c>
      <c r="V60" s="131">
        <v>8</v>
      </c>
      <c r="W60" s="14">
        <v>8</v>
      </c>
      <c r="X60" s="14"/>
      <c r="Y60" s="132"/>
      <c r="Z60" s="15">
        <v>8</v>
      </c>
      <c r="AA60" s="14">
        <v>8</v>
      </c>
      <c r="AB60" s="131">
        <v>8</v>
      </c>
      <c r="AC60" s="131">
        <v>8</v>
      </c>
      <c r="AD60" s="131">
        <v>8</v>
      </c>
      <c r="AE60" s="132">
        <v>8</v>
      </c>
      <c r="AF60" s="152"/>
      <c r="AG60" s="3"/>
      <c r="AH60" s="39">
        <f>SUM(E60:AF60)</f>
      </c>
      <c r="AI60" s="3"/>
      <c r="AJ60" s="79">
        <f>AH60/8</f>
      </c>
      <c r="AK60" s="153">
        <v>21</v>
      </c>
      <c r="AL60" s="3"/>
      <c r="AM60" s="138">
        <f>_xlfn.CONCAT(AJ60,"/",AK60)</f>
      </c>
      <c r="AN60" s="3"/>
      <c r="AO60" s="83">
        <f>AJ60/AK60*4000</f>
      </c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</row>
    <row x14ac:dyDescent="0.25" r="61" customHeight="1" ht="16">
      <c r="A61" s="154" t="s">
        <v>136</v>
      </c>
      <c r="B61" s="48" t="s">
        <v>137</v>
      </c>
      <c r="C61" s="155" t="s">
        <v>135</v>
      </c>
      <c r="D61" s="50"/>
      <c r="E61" s="54"/>
      <c r="F61" s="63"/>
      <c r="G61" s="63"/>
      <c r="H61" s="63"/>
      <c r="I61" s="63"/>
      <c r="J61" s="156"/>
      <c r="K61" s="54"/>
      <c r="L61" s="120">
        <v>8</v>
      </c>
      <c r="M61" s="52">
        <v>8</v>
      </c>
      <c r="N61" s="53">
        <v>8</v>
      </c>
      <c r="O61" s="63"/>
      <c r="P61" s="52">
        <v>8</v>
      </c>
      <c r="Q61" s="52">
        <v>8</v>
      </c>
      <c r="R61" s="54">
        <v>8</v>
      </c>
      <c r="S61" s="54">
        <v>8</v>
      </c>
      <c r="T61" s="52">
        <v>8</v>
      </c>
      <c r="U61" s="53">
        <v>8</v>
      </c>
      <c r="V61" s="63"/>
      <c r="W61" s="63"/>
      <c r="X61" s="52">
        <v>8</v>
      </c>
      <c r="Y61" s="54">
        <v>8</v>
      </c>
      <c r="Z61" s="54">
        <v>8</v>
      </c>
      <c r="AA61" s="63">
        <v>8</v>
      </c>
      <c r="AB61" s="53">
        <v>8</v>
      </c>
      <c r="AC61" s="53">
        <v>8</v>
      </c>
      <c r="AD61" s="63"/>
      <c r="AE61" s="63"/>
      <c r="AF61" s="140">
        <v>8</v>
      </c>
      <c r="AG61" s="3"/>
      <c r="AH61" s="53">
        <f>SUM(E61:AF61)</f>
      </c>
      <c r="AI61" s="3"/>
      <c r="AJ61" s="57">
        <f>AH61/8</f>
      </c>
      <c r="AK61" s="58">
        <v>20</v>
      </c>
      <c r="AL61" s="3"/>
      <c r="AM61" s="60">
        <f>_xlfn.CONCAT(AJ61,"/",AK61)</f>
      </c>
      <c r="AN61" s="3"/>
      <c r="AO61" s="61">
        <f>AJ61/AK61*4000</f>
      </c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</row>
    <row x14ac:dyDescent="0.25" r="62" customHeight="1" ht="16">
      <c r="A62" s="154" t="s">
        <v>138</v>
      </c>
      <c r="B62" s="48" t="s">
        <v>139</v>
      </c>
      <c r="C62" s="155" t="s">
        <v>135</v>
      </c>
      <c r="D62" s="50"/>
      <c r="E62" s="157"/>
      <c r="F62" s="118"/>
      <c r="G62" s="118">
        <v>8</v>
      </c>
      <c r="H62" s="118">
        <v>8</v>
      </c>
      <c r="I62" s="119">
        <v>8</v>
      </c>
      <c r="J62" s="119">
        <v>8</v>
      </c>
      <c r="K62" s="54">
        <v>8</v>
      </c>
      <c r="L62" s="120">
        <v>8</v>
      </c>
      <c r="M62" s="119">
        <v>8</v>
      </c>
      <c r="N62" s="118">
        <v>8</v>
      </c>
      <c r="O62" s="118">
        <v>8</v>
      </c>
      <c r="P62" s="119">
        <v>8</v>
      </c>
      <c r="Q62" s="119">
        <v>8</v>
      </c>
      <c r="R62" s="120">
        <v>8</v>
      </c>
      <c r="S62" s="120">
        <v>8</v>
      </c>
      <c r="T62" s="158"/>
      <c r="U62" s="158"/>
      <c r="V62" s="119">
        <v>8</v>
      </c>
      <c r="W62" s="119">
        <v>8</v>
      </c>
      <c r="X62" s="119">
        <v>8</v>
      </c>
      <c r="Y62" s="120">
        <v>8</v>
      </c>
      <c r="Z62" s="120">
        <v>8</v>
      </c>
      <c r="AA62" s="119">
        <v>8</v>
      </c>
      <c r="AB62" s="159"/>
      <c r="AC62" s="158"/>
      <c r="AD62" s="118"/>
      <c r="AE62" s="118">
        <v>8</v>
      </c>
      <c r="AF62" s="160">
        <v>8</v>
      </c>
      <c r="AG62" s="3"/>
      <c r="AH62" s="53">
        <f>SUM(E62:AF62)</f>
      </c>
      <c r="AI62" s="3"/>
      <c r="AJ62" s="57">
        <f>AH62/8</f>
      </c>
      <c r="AK62" s="58">
        <v>21</v>
      </c>
      <c r="AL62" s="3"/>
      <c r="AM62" s="60">
        <f>_xlfn.CONCAT(AJ62,"/",AK62)</f>
      </c>
      <c r="AN62" s="3"/>
      <c r="AO62" s="61">
        <f>AJ62/AK62*4000</f>
      </c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</row>
    <row x14ac:dyDescent="0.25" r="63" customHeight="1" ht="16">
      <c r="A63" s="161" t="s">
        <v>140</v>
      </c>
      <c r="B63" s="92" t="s">
        <v>141</v>
      </c>
      <c r="C63" s="162" t="s">
        <v>135</v>
      </c>
      <c r="D63" s="67"/>
      <c r="E63" s="97">
        <v>8</v>
      </c>
      <c r="F63" s="98">
        <v>8</v>
      </c>
      <c r="G63" s="99">
        <v>8</v>
      </c>
      <c r="H63" s="99">
        <v>8</v>
      </c>
      <c r="I63" s="98">
        <v>8</v>
      </c>
      <c r="J63" s="98">
        <v>8</v>
      </c>
      <c r="K63" s="97">
        <v>8</v>
      </c>
      <c r="L63" s="163">
        <v>8</v>
      </c>
      <c r="M63" s="98">
        <v>8</v>
      </c>
      <c r="N63" s="99">
        <v>8</v>
      </c>
      <c r="O63" s="99">
        <v>8</v>
      </c>
      <c r="P63" s="98">
        <v>8</v>
      </c>
      <c r="Q63" s="98">
        <v>8</v>
      </c>
      <c r="R63" s="95"/>
      <c r="S63" s="95"/>
      <c r="T63" s="98">
        <v>8</v>
      </c>
      <c r="U63" s="99">
        <v>8</v>
      </c>
      <c r="V63" s="99">
        <v>8</v>
      </c>
      <c r="W63" s="98">
        <v>8</v>
      </c>
      <c r="X63" s="98">
        <v>8</v>
      </c>
      <c r="Y63" s="97">
        <v>8</v>
      </c>
      <c r="Z63" s="95"/>
      <c r="AA63" s="95"/>
      <c r="AB63" s="99">
        <v>8</v>
      </c>
      <c r="AC63" s="99">
        <v>8</v>
      </c>
      <c r="AD63" s="99">
        <v>8</v>
      </c>
      <c r="AE63" s="95">
        <v>8</v>
      </c>
      <c r="AF63" s="164">
        <v>8</v>
      </c>
      <c r="AG63" s="3"/>
      <c r="AH63" s="53">
        <f>SUM(E63:AF63)</f>
      </c>
      <c r="AI63" s="3"/>
      <c r="AJ63" s="57">
        <f>AH63/8</f>
      </c>
      <c r="AK63" s="58">
        <v>22</v>
      </c>
      <c r="AL63" s="3"/>
      <c r="AM63" s="60">
        <f>_xlfn.CONCAT(AJ63,"/",AK63)</f>
      </c>
      <c r="AN63" s="3"/>
      <c r="AO63" s="61">
        <f>AJ63/AK63*4000</f>
      </c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</row>
    <row x14ac:dyDescent="0.25" r="64" customHeight="1" ht="16">
      <c r="A64" s="149" t="s">
        <v>142</v>
      </c>
      <c r="B64" s="150" t="s">
        <v>143</v>
      </c>
      <c r="C64" s="151" t="s">
        <v>144</v>
      </c>
      <c r="D64" s="76">
        <v>4</v>
      </c>
      <c r="E64" s="15">
        <v>8</v>
      </c>
      <c r="F64" s="14">
        <v>8</v>
      </c>
      <c r="G64" s="14"/>
      <c r="H64" s="135"/>
      <c r="I64" s="132"/>
      <c r="J64" s="14">
        <v>8</v>
      </c>
      <c r="K64" s="15">
        <v>8</v>
      </c>
      <c r="L64" s="165">
        <v>8</v>
      </c>
      <c r="M64" s="14">
        <v>8</v>
      </c>
      <c r="N64" s="131">
        <v>8</v>
      </c>
      <c r="O64" s="131">
        <v>8</v>
      </c>
      <c r="P64" s="132"/>
      <c r="Q64" s="132"/>
      <c r="R64" s="15">
        <v>8</v>
      </c>
      <c r="S64" s="15">
        <v>8</v>
      </c>
      <c r="T64" s="14">
        <v>8</v>
      </c>
      <c r="U64" s="131">
        <v>8</v>
      </c>
      <c r="V64" s="131">
        <v>8</v>
      </c>
      <c r="W64" s="14">
        <v>8</v>
      </c>
      <c r="X64" s="14"/>
      <c r="Y64" s="132"/>
      <c r="Z64" s="15">
        <v>8</v>
      </c>
      <c r="AA64" s="14">
        <v>8</v>
      </c>
      <c r="AB64" s="131">
        <v>8</v>
      </c>
      <c r="AC64" s="131">
        <v>8</v>
      </c>
      <c r="AD64" s="131">
        <v>8</v>
      </c>
      <c r="AE64" s="132">
        <v>8</v>
      </c>
      <c r="AF64" s="152"/>
      <c r="AG64" s="3"/>
      <c r="AH64" s="53">
        <f>SUM(E64:AF64)</f>
      </c>
      <c r="AI64" s="3"/>
      <c r="AJ64" s="57">
        <f>AH64/8</f>
      </c>
      <c r="AK64" s="58">
        <v>21</v>
      </c>
      <c r="AL64" s="3"/>
      <c r="AM64" s="60">
        <f>_xlfn.CONCAT(AJ64,"/",AK64)</f>
      </c>
      <c r="AN64" s="3"/>
      <c r="AO64" s="61">
        <f>AJ64/AK64*4000</f>
      </c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</row>
    <row x14ac:dyDescent="0.25" r="65" customHeight="1" ht="16">
      <c r="A65" s="154" t="s">
        <v>145</v>
      </c>
      <c r="B65" s="48" t="s">
        <v>146</v>
      </c>
      <c r="C65" s="155" t="s">
        <v>144</v>
      </c>
      <c r="D65" s="50"/>
      <c r="E65" s="54">
        <v>8</v>
      </c>
      <c r="F65" s="63"/>
      <c r="G65" s="63"/>
      <c r="H65" s="53">
        <v>8</v>
      </c>
      <c r="I65" s="52">
        <v>8</v>
      </c>
      <c r="J65" s="52">
        <v>8</v>
      </c>
      <c r="K65" s="54">
        <v>8</v>
      </c>
      <c r="L65" s="120">
        <v>8</v>
      </c>
      <c r="M65" s="52">
        <v>8</v>
      </c>
      <c r="N65" s="63"/>
      <c r="O65" s="63"/>
      <c r="P65" s="52"/>
      <c r="Q65" s="52">
        <v>8</v>
      </c>
      <c r="R65" s="54">
        <v>8</v>
      </c>
      <c r="S65" s="54">
        <v>8</v>
      </c>
      <c r="T65" s="52">
        <v>8</v>
      </c>
      <c r="U65" s="53">
        <v>8</v>
      </c>
      <c r="V65" s="63"/>
      <c r="W65" s="63"/>
      <c r="X65" s="52">
        <v>8</v>
      </c>
      <c r="Y65" s="54">
        <v>8</v>
      </c>
      <c r="Z65" s="54">
        <v>8</v>
      </c>
      <c r="AA65" s="63">
        <v>8</v>
      </c>
      <c r="AB65" s="53">
        <v>8</v>
      </c>
      <c r="AC65" s="53">
        <v>8</v>
      </c>
      <c r="AD65" s="63"/>
      <c r="AE65" s="63"/>
      <c r="AF65" s="140">
        <v>8</v>
      </c>
      <c r="AG65" s="3"/>
      <c r="AH65" s="53">
        <f>SUM(E65:AF65)</f>
      </c>
      <c r="AI65" s="3"/>
      <c r="AJ65" s="57">
        <f>AH65/8</f>
      </c>
      <c r="AK65" s="58">
        <v>20</v>
      </c>
      <c r="AL65" s="3"/>
      <c r="AM65" s="60">
        <f>_xlfn.CONCAT(AJ65,"/",AK65)</f>
      </c>
      <c r="AN65" s="3"/>
      <c r="AO65" s="61">
        <f>AJ65/AK65*4000</f>
      </c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</row>
    <row x14ac:dyDescent="0.25" r="66" customHeight="1" ht="16">
      <c r="A66" s="154" t="s">
        <v>147</v>
      </c>
      <c r="B66" s="48" t="s">
        <v>148</v>
      </c>
      <c r="C66" s="155" t="s">
        <v>144</v>
      </c>
      <c r="D66" s="50"/>
      <c r="E66" s="63"/>
      <c r="F66" s="52">
        <v>8</v>
      </c>
      <c r="G66" s="53">
        <v>8</v>
      </c>
      <c r="H66" s="53">
        <v>8</v>
      </c>
      <c r="I66" s="52">
        <v>8</v>
      </c>
      <c r="J66" s="52">
        <v>8</v>
      </c>
      <c r="K66" s="54">
        <v>8</v>
      </c>
      <c r="L66" s="63"/>
      <c r="M66" s="116"/>
      <c r="N66" s="53">
        <v>8</v>
      </c>
      <c r="O66" s="53">
        <v>8</v>
      </c>
      <c r="P66" s="52">
        <v>8</v>
      </c>
      <c r="Q66" s="52">
        <v>8</v>
      </c>
      <c r="R66" s="54">
        <v>8</v>
      </c>
      <c r="S66" s="54">
        <v>8</v>
      </c>
      <c r="T66" s="63"/>
      <c r="U66" s="63"/>
      <c r="V66" s="53">
        <v>8</v>
      </c>
      <c r="W66" s="52">
        <v>8</v>
      </c>
      <c r="X66" s="52">
        <v>8</v>
      </c>
      <c r="Y66" s="54">
        <v>8</v>
      </c>
      <c r="Z66" s="54">
        <v>8</v>
      </c>
      <c r="AA66" s="52">
        <v>8</v>
      </c>
      <c r="AB66" s="116"/>
      <c r="AC66" s="63"/>
      <c r="AD66" s="53">
        <v>8</v>
      </c>
      <c r="AE66" s="53">
        <v>8</v>
      </c>
      <c r="AF66" s="140">
        <v>8</v>
      </c>
      <c r="AG66" s="3"/>
      <c r="AH66" s="53">
        <f>SUM(E66:AF66)</f>
      </c>
      <c r="AI66" s="3"/>
      <c r="AJ66" s="57">
        <f>AH66/8</f>
      </c>
      <c r="AK66" s="58">
        <v>21</v>
      </c>
      <c r="AL66" s="3"/>
      <c r="AM66" s="60">
        <f>_xlfn.CONCAT(AJ66,"/",AK66)</f>
      </c>
      <c r="AN66" s="3"/>
      <c r="AO66" s="61">
        <f>AJ66/AK66*4000</f>
      </c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</row>
    <row x14ac:dyDescent="0.25" r="67" customHeight="1" ht="16">
      <c r="A67" s="166" t="s">
        <v>149</v>
      </c>
      <c r="B67" s="65" t="s">
        <v>150</v>
      </c>
      <c r="C67" s="167" t="s">
        <v>144</v>
      </c>
      <c r="D67" s="67"/>
      <c r="E67" s="71">
        <v>8</v>
      </c>
      <c r="F67" s="69">
        <v>8</v>
      </c>
      <c r="G67" s="70">
        <v>8</v>
      </c>
      <c r="H67" s="70">
        <v>8</v>
      </c>
      <c r="I67" s="69">
        <v>8</v>
      </c>
      <c r="J67" s="85"/>
      <c r="K67" s="85"/>
      <c r="L67" s="71">
        <v>8</v>
      </c>
      <c r="M67" s="130"/>
      <c r="N67" s="70">
        <v>8</v>
      </c>
      <c r="O67" s="70">
        <v>8</v>
      </c>
      <c r="P67" s="69">
        <v>8</v>
      </c>
      <c r="Q67" s="69">
        <v>8</v>
      </c>
      <c r="R67" s="85"/>
      <c r="S67" s="85"/>
      <c r="T67" s="69">
        <v>8</v>
      </c>
      <c r="U67" s="70">
        <v>8</v>
      </c>
      <c r="V67" s="70">
        <v>8</v>
      </c>
      <c r="W67" s="69">
        <v>8</v>
      </c>
      <c r="X67" s="69">
        <v>8</v>
      </c>
      <c r="Y67" s="71">
        <v>8</v>
      </c>
      <c r="Z67" s="85"/>
      <c r="AA67" s="85"/>
      <c r="AB67" s="70">
        <v>8</v>
      </c>
      <c r="AC67" s="70">
        <v>8</v>
      </c>
      <c r="AD67" s="70">
        <v>8</v>
      </c>
      <c r="AE67" s="85">
        <v>8</v>
      </c>
      <c r="AF67" s="144">
        <v>8</v>
      </c>
      <c r="AG67" s="3"/>
      <c r="AH67" s="70">
        <f>SUM(E67:AF67)</f>
      </c>
      <c r="AI67" s="3"/>
      <c r="AJ67" s="72">
        <f>AH67/8</f>
      </c>
      <c r="AK67" s="73">
        <v>22</v>
      </c>
      <c r="AL67" s="3"/>
      <c r="AM67" s="113">
        <f>_xlfn.CONCAT(AJ67,"/",AK67)</f>
      </c>
      <c r="AN67" s="3"/>
      <c r="AO67" s="114">
        <f>AJ67/AK67*4000</f>
      </c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</row>
    <row x14ac:dyDescent="0.25" r="68" customHeight="1" ht="16">
      <c r="A68" s="168" t="s">
        <v>151</v>
      </c>
      <c r="B68" s="34" t="s">
        <v>46</v>
      </c>
      <c r="C68" s="169" t="s">
        <v>152</v>
      </c>
      <c r="D68" s="76">
        <v>4</v>
      </c>
      <c r="E68" s="40">
        <v>8</v>
      </c>
      <c r="F68" s="39">
        <v>8</v>
      </c>
      <c r="G68" s="39"/>
      <c r="H68" s="104"/>
      <c r="I68" s="77"/>
      <c r="J68" s="39">
        <v>8</v>
      </c>
      <c r="K68" s="40">
        <v>8</v>
      </c>
      <c r="L68" s="170">
        <v>8</v>
      </c>
      <c r="M68" s="38">
        <v>8</v>
      </c>
      <c r="N68" s="39">
        <v>8</v>
      </c>
      <c r="O68" s="39">
        <v>8</v>
      </c>
      <c r="P68" s="77"/>
      <c r="Q68" s="77">
        <v>8</v>
      </c>
      <c r="R68" s="40">
        <v>8</v>
      </c>
      <c r="S68" s="40">
        <v>8</v>
      </c>
      <c r="T68" s="38">
        <v>8</v>
      </c>
      <c r="U68" s="39">
        <v>8</v>
      </c>
      <c r="V68" s="39">
        <v>8</v>
      </c>
      <c r="W68" s="38">
        <v>8</v>
      </c>
      <c r="X68" s="77"/>
      <c r="Y68" s="77"/>
      <c r="Z68" s="40">
        <v>8</v>
      </c>
      <c r="AA68" s="38">
        <v>8</v>
      </c>
      <c r="AB68" s="39">
        <v>8</v>
      </c>
      <c r="AC68" s="39">
        <v>8</v>
      </c>
      <c r="AD68" s="39">
        <v>8</v>
      </c>
      <c r="AE68" s="77">
        <v>8</v>
      </c>
      <c r="AF68" s="171"/>
      <c r="AG68" s="3"/>
      <c r="AH68" s="53">
        <f>SUM(E68:AF68)</f>
      </c>
      <c r="AI68" s="3"/>
      <c r="AJ68" s="57">
        <f>AH68/8</f>
      </c>
      <c r="AK68" s="58">
        <v>21</v>
      </c>
      <c r="AL68" s="3"/>
      <c r="AM68" s="46">
        <f>_xlfn.CONCAT(AJ68,"/",AK68)</f>
      </c>
      <c r="AN68" s="3"/>
      <c r="AO68" s="47">
        <f>AJ68/AK68*4000</f>
      </c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</row>
    <row x14ac:dyDescent="0.25" r="69" customHeight="1" ht="16">
      <c r="A69" s="154" t="s">
        <v>153</v>
      </c>
      <c r="B69" s="48" t="s">
        <v>154</v>
      </c>
      <c r="C69" s="155" t="s">
        <v>152</v>
      </c>
      <c r="D69" s="50"/>
      <c r="E69" s="54">
        <v>8</v>
      </c>
      <c r="F69" s="63"/>
      <c r="G69" s="63"/>
      <c r="H69" s="53">
        <v>8</v>
      </c>
      <c r="I69" s="52">
        <v>8</v>
      </c>
      <c r="J69" s="52">
        <v>8</v>
      </c>
      <c r="K69" s="54">
        <v>8</v>
      </c>
      <c r="L69" s="120">
        <v>8</v>
      </c>
      <c r="M69" s="52">
        <v>8</v>
      </c>
      <c r="N69" s="63"/>
      <c r="O69" s="63"/>
      <c r="P69" s="52">
        <v>8</v>
      </c>
      <c r="Q69" s="52">
        <v>8</v>
      </c>
      <c r="R69" s="54">
        <v>8</v>
      </c>
      <c r="S69" s="54">
        <v>8</v>
      </c>
      <c r="T69" s="52">
        <v>8</v>
      </c>
      <c r="U69" s="53">
        <v>8</v>
      </c>
      <c r="V69" s="63"/>
      <c r="W69" s="63"/>
      <c r="X69" s="52">
        <v>8</v>
      </c>
      <c r="Y69" s="54">
        <v>8</v>
      </c>
      <c r="Z69" s="54">
        <v>8</v>
      </c>
      <c r="AA69" s="63">
        <v>8</v>
      </c>
      <c r="AB69" s="53">
        <v>8</v>
      </c>
      <c r="AC69" s="53">
        <v>8</v>
      </c>
      <c r="AD69" s="63"/>
      <c r="AE69" s="63"/>
      <c r="AF69" s="140">
        <v>8</v>
      </c>
      <c r="AG69" s="3"/>
      <c r="AH69" s="53">
        <f>SUM(E69:AF69)</f>
      </c>
      <c r="AI69" s="3"/>
      <c r="AJ69" s="57">
        <f>AH69/8</f>
      </c>
      <c r="AK69" s="58">
        <v>20</v>
      </c>
      <c r="AL69" s="3"/>
      <c r="AM69" s="60">
        <f>_xlfn.CONCAT(AJ69,"/",AK69)</f>
      </c>
      <c r="AN69" s="3"/>
      <c r="AO69" s="61">
        <f>AJ69/AK69*4000</f>
      </c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</row>
    <row x14ac:dyDescent="0.25" r="70" customHeight="1" ht="16">
      <c r="A70" s="154" t="s">
        <v>155</v>
      </c>
      <c r="B70" s="48" t="s">
        <v>156</v>
      </c>
      <c r="C70" s="155" t="s">
        <v>157</v>
      </c>
      <c r="D70" s="50"/>
      <c r="E70" s="63"/>
      <c r="F70" s="52">
        <v>8</v>
      </c>
      <c r="G70" s="53">
        <v>8</v>
      </c>
      <c r="H70" s="53">
        <v>8</v>
      </c>
      <c r="I70" s="52">
        <v>8</v>
      </c>
      <c r="J70" s="52">
        <v>8</v>
      </c>
      <c r="K70" s="54">
        <v>8</v>
      </c>
      <c r="L70" s="63"/>
      <c r="M70" s="116"/>
      <c r="N70" s="53">
        <v>8</v>
      </c>
      <c r="O70" s="53">
        <v>8</v>
      </c>
      <c r="P70" s="52">
        <v>8</v>
      </c>
      <c r="Q70" s="172" t="s">
        <v>64</v>
      </c>
      <c r="R70" s="172" t="s">
        <v>64</v>
      </c>
      <c r="S70" s="172" t="s">
        <v>64</v>
      </c>
      <c r="T70" s="63"/>
      <c r="U70" s="63"/>
      <c r="V70" s="53">
        <v>8</v>
      </c>
      <c r="W70" s="52">
        <v>8</v>
      </c>
      <c r="X70" s="52">
        <v>8</v>
      </c>
      <c r="Y70" s="54">
        <v>8</v>
      </c>
      <c r="Z70" s="54">
        <v>8</v>
      </c>
      <c r="AA70" s="52">
        <v>8</v>
      </c>
      <c r="AB70" s="116"/>
      <c r="AC70" s="63"/>
      <c r="AD70" s="53">
        <v>8</v>
      </c>
      <c r="AE70" s="53">
        <v>8</v>
      </c>
      <c r="AF70" s="140">
        <v>8</v>
      </c>
      <c r="AG70" s="3"/>
      <c r="AH70" s="53">
        <f>SUM(E70:AF70)</f>
      </c>
      <c r="AI70" s="3"/>
      <c r="AJ70" s="57">
        <f>AH70/8</f>
      </c>
      <c r="AK70" s="58">
        <v>21</v>
      </c>
      <c r="AL70" s="3"/>
      <c r="AM70" s="60">
        <f>_xlfn.CONCAT(AJ70,"/",AK70)</f>
      </c>
      <c r="AN70" s="3"/>
      <c r="AO70" s="61">
        <f>AJ70/AK70*4000</f>
      </c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</row>
    <row x14ac:dyDescent="0.25" r="71" customHeight="1" ht="16">
      <c r="A71" s="166" t="s">
        <v>158</v>
      </c>
      <c r="B71" s="65" t="s">
        <v>159</v>
      </c>
      <c r="C71" s="167" t="s">
        <v>160</v>
      </c>
      <c r="D71" s="67"/>
      <c r="E71" s="71">
        <v>8</v>
      </c>
      <c r="F71" s="70">
        <v>8</v>
      </c>
      <c r="G71" s="70">
        <v>8</v>
      </c>
      <c r="H71" s="70">
        <v>8</v>
      </c>
      <c r="I71" s="70">
        <v>8</v>
      </c>
      <c r="J71" s="85"/>
      <c r="K71" s="85"/>
      <c r="L71" s="173">
        <v>8</v>
      </c>
      <c r="M71" s="69">
        <v>8</v>
      </c>
      <c r="N71" s="70">
        <v>8</v>
      </c>
      <c r="O71" s="70">
        <v>8</v>
      </c>
      <c r="P71" s="69">
        <v>8</v>
      </c>
      <c r="Q71" s="69">
        <v>8</v>
      </c>
      <c r="R71" s="85"/>
      <c r="S71" s="71">
        <v>8</v>
      </c>
      <c r="T71" s="69">
        <v>8</v>
      </c>
      <c r="U71" s="70">
        <v>8</v>
      </c>
      <c r="V71" s="70">
        <v>8</v>
      </c>
      <c r="W71" s="69">
        <v>8</v>
      </c>
      <c r="X71" s="69">
        <v>8</v>
      </c>
      <c r="Y71" s="71">
        <v>8</v>
      </c>
      <c r="Z71" s="85"/>
      <c r="AA71" s="85"/>
      <c r="AB71" s="70">
        <v>8</v>
      </c>
      <c r="AC71" s="70">
        <v>8</v>
      </c>
      <c r="AD71" s="70">
        <v>8</v>
      </c>
      <c r="AE71" s="85">
        <v>8</v>
      </c>
      <c r="AF71" s="144">
        <v>8</v>
      </c>
      <c r="AG71" s="3"/>
      <c r="AH71" s="53">
        <f>SUM(E71:AF71)</f>
      </c>
      <c r="AI71" s="3"/>
      <c r="AJ71" s="72">
        <f>AH71/8</f>
      </c>
      <c r="AK71" s="73">
        <v>22</v>
      </c>
      <c r="AL71" s="3"/>
      <c r="AM71" s="74">
        <f>_xlfn.CONCAT(AJ71,"/",AK71)</f>
      </c>
      <c r="AN71" s="3"/>
      <c r="AO71" s="75">
        <f>AJ71/AK71*4000</f>
      </c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</row>
  </sheetData>
  <mergeCells count="17">
    <mergeCell ref="D4:D5"/>
    <mergeCell ref="AH4:AH5"/>
    <mergeCell ref="AJ4:AJ5"/>
    <mergeCell ref="AK4:AK5"/>
    <mergeCell ref="AM4:AM5"/>
    <mergeCell ref="AO4:AO5"/>
    <mergeCell ref="AG6:AG59"/>
    <mergeCell ref="AI6:AI59"/>
    <mergeCell ref="AL6:AL59"/>
    <mergeCell ref="AN6:AN59"/>
    <mergeCell ref="D14:D17"/>
    <mergeCell ref="D18:D21"/>
    <mergeCell ref="D22:D55"/>
    <mergeCell ref="D56:D59"/>
    <mergeCell ref="D60:D63"/>
    <mergeCell ref="D64:D67"/>
    <mergeCell ref="D68:D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Feuil1</vt:lpstr>
      <vt:lpstr>Feuil2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2026-03-19T16:00:59.345Z</dcterms:created>
  <dcterms:modified xsi:type="dcterms:W3CDTF">2026-03-19T16:00:59.346Z</dcterms:modified>
</cp:coreProperties>
</file>